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7.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BIKRAM KUMAR\Desktop\"/>
    </mc:Choice>
  </mc:AlternateContent>
  <xr:revisionPtr revIDLastSave="0" documentId="8_{E39D19F4-2A2B-40C7-B273-84985FAC641E}" xr6:coauthVersionLast="47" xr6:coauthVersionMax="47" xr10:uidLastSave="{00000000-0000-0000-0000-000000000000}"/>
  <bookViews>
    <workbookView xWindow="-120" yWindow="-120" windowWidth="20730" windowHeight="11160" activeTab="3" xr2:uid="{F1307987-3434-4048-81FB-B21AAD0BE076}"/>
  </bookViews>
  <sheets>
    <sheet name="Pivot Report" sheetId="1" r:id="rId1"/>
    <sheet name="Dashboard" sheetId="2" r:id="rId2"/>
    <sheet name="Daily ER no. of Patient" sheetId="3" r:id="rId3"/>
    <sheet name="Average Patient waittime daily " sheetId="8" r:id="rId4"/>
    <sheet name="Average Satisfaction Score dail" sheetId="9" r:id="rId5"/>
  </sheets>
  <definedNames>
    <definedName name="Slicer_Date__Month">#N/A</definedName>
    <definedName name="Slicer_Date__Year">#N/A</definedName>
  </definedNames>
  <calcPr calcId="191029"/>
  <pivotCaches>
    <pivotCache cacheId="500" r:id="rId6"/>
    <pivotCache cacheId="706" r:id="rId7"/>
    <pivotCache cacheId="709" r:id="rId8"/>
    <pivotCache cacheId="712" r:id="rId9"/>
    <pivotCache cacheId="715" r:id="rId10"/>
    <pivotCache cacheId="718" r:id="rId11"/>
    <pivotCache cacheId="721" r:id="rId12"/>
    <pivotCache cacheId="724" r:id="rId13"/>
    <pivotCache cacheId="727" r:id="rId14"/>
    <pivotCache cacheId="730" r:id="rId15"/>
    <pivotCache cacheId="733" r:id="rId16"/>
    <pivotCache cacheId="736" r:id="rId17"/>
  </pivotCaches>
  <extLst>
    <ext xmlns:x14="http://schemas.microsoft.com/office/spreadsheetml/2009/9/main" uri="{876F7934-8845-4945-9796-88D515C7AA90}">
      <x14:pivotCaches>
        <pivotCache cacheId="447"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c3e37a8-4486-4a98-9a39-95e9fdd3739e" name="Hospital Emergency Room Data" connection="Query - Hospital Emergency Room Data"/>
          <x15:modelTable id="Calendar_Table_38b13429-8dd0-49e7-a648-5867ced0bd4c"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2" i="1" l="1"/>
  <c r="C43" i="1"/>
  <c r="B42" i="1"/>
  <c r="A42" i="1"/>
  <c r="B43" i="1"/>
  <c r="A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EBAB5E-60C0-485A-8A5A-74AA3F9B0344}" name="Query - Calendar_Table" description="Connection to the 'Calendar_Table' query in the workbook." type="100" refreshedVersion="8" minRefreshableVersion="5">
    <extLst>
      <ext xmlns:x15="http://schemas.microsoft.com/office/spreadsheetml/2010/11/main" uri="{DE250136-89BD-433C-8126-D09CA5730AF9}">
        <x15:connection id="91bdfef7-0ff1-4f2e-a00c-02e339dfbff9"/>
      </ext>
    </extLst>
  </connection>
  <connection id="2" xr16:uid="{2B29D415-EE34-4FAB-9A6B-6D5F6BA5AAFC}"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4b6af95-8aac-43db-a2ea-c4c7b6a21b86"/>
      </ext>
    </extLst>
  </connection>
  <connection id="3" xr16:uid="{A0163973-83DE-4582-8DB1-DE1C1419DF3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<sst xmlns="http://schemas.openxmlformats.org/spreadsheetml/2006/main" count="164" uniqueCount="79">
  <si>
    <t>Distinct Count of Patient Id</t>
  </si>
  <si>
    <t>No. of Patient</t>
  </si>
  <si>
    <t>Average of Patient Waittime</t>
  </si>
  <si>
    <t>Average of Patient Satisfaction Score</t>
  </si>
  <si>
    <t>Row Labels</t>
  </si>
  <si>
    <t>Grand Total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</si>
  <si>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</si>
  <si>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</si>
  <si>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</si>
  <si>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</si>
  <si>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</si>
  <si>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</si>
  <si>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</si>
  <si>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</si>
  <si>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</si>
  <si>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</si>
  <si>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</si>
  <si>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</si>
  <si>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</si>
  <si>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</si>
  <si>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</si>
  <si>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</si>
  <si>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</si>
  <si>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</si>
  <si>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</si>
  <si>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</si>
  <si>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</si>
  <si>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</si>
  <si>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</si>
  <si>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</si>
  <si>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</si>
  <si>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</si>
  <si>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</si>
  <si>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</si>
  <si>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</si>
  <si>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</si>
  <si>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</si>
  <si>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</si>
  <si>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daily trends of no. of patient</t>
  </si>
  <si>
    <t>Sum</t>
  </si>
  <si>
    <t>Average</t>
  </si>
  <si>
    <t>Running Total</t>
  </si>
  <si>
    <t>Count</t>
  </si>
  <si>
    <t>Avg Waittime</t>
  </si>
  <si>
    <t>Satisfaction Score daily trend</t>
  </si>
  <si>
    <t>Admitted</t>
  </si>
  <si>
    <t>Not Admitted</t>
  </si>
  <si>
    <t>Count of Patient Admission Flag</t>
  </si>
  <si>
    <t>Count of Patient Admission Flag2</t>
  </si>
  <si>
    <t>% Status</t>
  </si>
  <si>
    <t>Admission Status</t>
  </si>
  <si>
    <t xml:space="preserve"> Patient</t>
  </si>
  <si>
    <t>0-09</t>
  </si>
  <si>
    <t>10-19</t>
  </si>
  <si>
    <t>20-29</t>
  </si>
  <si>
    <t>30-39</t>
  </si>
  <si>
    <t>40-49</t>
  </si>
  <si>
    <t>50-59</t>
  </si>
  <si>
    <t>60-69</t>
  </si>
  <si>
    <t>70-79</t>
  </si>
  <si>
    <t>Count of Age Group</t>
  </si>
  <si>
    <t>Age grp by analysis</t>
  </si>
  <si>
    <t>Delay</t>
  </si>
  <si>
    <t>Ontime</t>
  </si>
  <si>
    <t>Count of Patient attend Status</t>
  </si>
  <si>
    <t>Attend status</t>
  </si>
  <si>
    <t>Count of Patient Gender</t>
  </si>
  <si>
    <t>Female</t>
  </si>
  <si>
    <t>Male</t>
  </si>
  <si>
    <t>Gender</t>
  </si>
  <si>
    <t>Count of Department Referral</t>
  </si>
  <si>
    <t>Cardiology</t>
  </si>
  <si>
    <t>Gastroenterology</t>
  </si>
  <si>
    <t>General Practice</t>
  </si>
  <si>
    <t>Neurology</t>
  </si>
  <si>
    <t>None</t>
  </si>
  <si>
    <t>Orthopedics</t>
  </si>
  <si>
    <t>Physiotherapy</t>
  </si>
  <si>
    <t>Renal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</si>
</sst>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6" fontId="0" fillId="0" borderId="0" xfId="0" applyNumberFormat="1" applyAlignment="1">
      <alignment horizontal="left"/>
    </xf>
    <xf numFmtId="1" fontId="0" fillId="0" borderId="0" xfId="0" applyNumberFormat="1"/>
    <xf numFmtId="10" fontId="0" fillId="0" borderId="0" xfId="0" applyNumberFormat="1"/>
    <xf numFmtId="0" fontId="0" fillId="0" borderId="0" xfId="0" applyAlignment="1">
      <alignment horizontal="center" vertical="center"/>
    </xf>
    <xf numFmtId="10" fontId="0" fillId="0" borderId="0" xfId="0" applyNumberFormat="1" applyAlignment="1">
      <alignment horizontal="center" vertical="center"/>
    </xf>
  </cellXfs>
  <cellStyles count="1">
    <cellStyle name="Normal" xfId="0" builtinId="0"/>
  </cellStyles>
  <dxfs count="74">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1" formatCode="0"/>
    </dxf>
    <dxf>
      <numFmt numFmtId="2" formatCode="0.00"/>
    </dxf>
    <dxf>
      <numFmt numFmtId="2" formatCode="0.00"/>
    </dxf>
    <dxf>
      <font>
        <b/>
        <color theme="1"/>
      </font>
      <border>
        <bottom style="thin">
          <color theme="8"/>
        </bottom>
        <vertical/>
        <horizontal/>
      </border>
    </dxf>
    <dxf>
      <font>
        <b val="0"/>
        <i val="0"/>
        <sz val="5"/>
        <color theme="1"/>
      </font>
      <fill>
        <patternFill>
          <bgColor theme="0"/>
        </patternFill>
      </fill>
      <border diagonalUp="0" diagonalDown="0">
        <left/>
        <right/>
        <top/>
        <bottom/>
        <vertical/>
        <horizontal/>
      </border>
    </dxf>
    <dxf>
      <numFmt numFmtId="2" formatCode="0.00"/>
    </dxf>
    <dxf>
      <numFmt numFmtId="2" formatCode="0.00"/>
    </dxf>
  </dxfs>
  <tableStyles count="2" defaultTableStyle="TableStyleMedium2" defaultPivotStyle="PivotStyleLight16">
    <tableStyle name="Invisible" pivot="0" table="0" count="0" xr9:uid="{8623141C-B0A7-46E7-9084-ABCFF93C7111}"/>
    <tableStyle name="my style" pivot="0" table="0" count="10" xr9:uid="{1EC54E51-06D9-412F-B831-C34B38B8819D}">
      <tableStyleElement type="wholeTable" dxfId="71"/>
      <tableStyleElement type="headerRow" dxfId="7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2.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Report'!$B$35</c:f>
              <c:strCache>
                <c:ptCount val="1"/>
                <c:pt idx="0">
                  <c:v>Count of Patient Admission Flag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Report'!$A$36:$A$38</c:f>
              <c:strCache>
                <c:ptCount val="2"/>
                <c:pt idx="0">
                  <c:v>Admitted</c:v>
                </c:pt>
                <c:pt idx="1">
                  <c:v>Not Admitted</c:v>
                </c:pt>
              </c:strCache>
            </c:strRef>
          </c:cat>
          <c:val>
            <c:numRef>
              <c:f>'Pivot Report'!$B$36:$B$38</c:f>
              <c:numCache>
                <c:formatCode>0</c:formatCode>
                <c:ptCount val="2"/>
                <c:pt idx="0">
                  <c:v>269</c:v>
                </c:pt>
                <c:pt idx="1">
                  <c:v>244</c:v>
                </c:pt>
              </c:numCache>
            </c:numRef>
          </c:val>
          <c:extLst>
            <c:ext xmlns:c16="http://schemas.microsoft.com/office/drawing/2014/chart" uri="{C3380CC4-5D6E-409C-BE32-E72D297353CC}">
              <c16:uniqueId val="{00000003-DB7F-4EE7-9B6D-05771FB78A3F}"/>
            </c:ext>
          </c:extLst>
        </c:ser>
        <c:ser>
          <c:idx val="1"/>
          <c:order val="1"/>
          <c:tx>
            <c:strRef>
              <c:f>'Pivot Report'!$C$35</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Report'!$A$36:$A$38</c:f>
              <c:strCache>
                <c:ptCount val="2"/>
                <c:pt idx="0">
                  <c:v>Admitted</c:v>
                </c:pt>
                <c:pt idx="1">
                  <c:v>Not Admitted</c:v>
                </c:pt>
              </c:strCache>
            </c:strRef>
          </c:cat>
          <c:val>
            <c:numRef>
              <c:f>'Pivot Report'!$C$36:$C$38</c:f>
              <c:numCache>
                <c:formatCode>0.00%</c:formatCode>
                <c:ptCount val="2"/>
                <c:pt idx="0">
                  <c:v>0.52436647173489281</c:v>
                </c:pt>
                <c:pt idx="1">
                  <c:v>0.47563352826510719</c:v>
                </c:pt>
              </c:numCache>
            </c:numRef>
          </c:val>
          <c:extLst>
            <c:ext xmlns:c16="http://schemas.microsoft.com/office/drawing/2014/chart" uri="{C3380CC4-5D6E-409C-BE32-E72D297353CC}">
              <c16:uniqueId val="{00000004-DB7F-4EE7-9B6D-05771FB78A3F}"/>
            </c:ext>
          </c:extLst>
        </c:ser>
        <c:dLbls>
          <c:dLblPos val="outEnd"/>
          <c:showLegendKey val="0"/>
          <c:showVal val="1"/>
          <c:showCatName val="0"/>
          <c:showSerName val="0"/>
          <c:showPercent val="0"/>
          <c:showBubbleSize val="0"/>
        </c:dLbls>
        <c:gapWidth val="182"/>
        <c:axId val="1367492512"/>
        <c:axId val="1367463712"/>
      </c:barChart>
      <c:catAx>
        <c:axId val="1367492512"/>
        <c:scaling>
          <c:orientation val="minMax"/>
        </c:scaling>
        <c:delete val="1"/>
        <c:axPos val="l"/>
        <c:numFmt formatCode="General" sourceLinked="1"/>
        <c:majorTickMark val="none"/>
        <c:minorTickMark val="none"/>
        <c:tickLblPos val="nextTo"/>
        <c:crossAx val="1367463712"/>
        <c:crosses val="autoZero"/>
        <c:auto val="1"/>
        <c:lblAlgn val="ctr"/>
        <c:lblOffset val="100"/>
        <c:noMultiLvlLbl val="0"/>
      </c:catAx>
      <c:valAx>
        <c:axId val="1367463712"/>
        <c:scaling>
          <c:orientation val="minMax"/>
        </c:scaling>
        <c:delete val="1"/>
        <c:axPos val="b"/>
        <c:numFmt formatCode="0" sourceLinked="1"/>
        <c:majorTickMark val="none"/>
        <c:minorTickMark val="none"/>
        <c:tickLblPos val="nextTo"/>
        <c:crossAx val="136749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846090116054883"/>
        </c:manualLayout>
      </c:layout>
      <c:areaChart>
        <c:grouping val="standard"/>
        <c:varyColors val="0"/>
        <c:ser>
          <c:idx val="0"/>
          <c:order val="0"/>
          <c:tx>
            <c:strRef>
              <c:f>'Pivot Report'!$F$2</c:f>
              <c:strCache>
                <c:ptCount val="1"/>
                <c:pt idx="0">
                  <c:v>Total</c:v>
                </c:pt>
              </c:strCache>
            </c:strRef>
          </c:tx>
          <c:spPr>
            <a:solidFill>
              <a:schemeClr val="accent1"/>
            </a:solidFill>
            <a:ln w="25400">
              <a:noFill/>
            </a:ln>
            <a:effectLst/>
          </c:spPr>
          <c:cat>
            <c:strRef>
              <c:f>'Pivot Report'!$E$3:$E$34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Report'!$F$3:$F$34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A724-4CDA-B036-A628663B5F5B}"/>
            </c:ext>
          </c:extLst>
        </c:ser>
        <c:dLbls>
          <c:showLegendKey val="0"/>
          <c:showVal val="0"/>
          <c:showCatName val="0"/>
          <c:showSerName val="0"/>
          <c:showPercent val="0"/>
          <c:showBubbleSize val="0"/>
        </c:dLbls>
        <c:axId val="1997074527"/>
        <c:axId val="1997086047"/>
      </c:areaChart>
      <c:catAx>
        <c:axId val="1997074527"/>
        <c:scaling>
          <c:orientation val="minMax"/>
        </c:scaling>
        <c:delete val="1"/>
        <c:axPos val="b"/>
        <c:numFmt formatCode="General" sourceLinked="1"/>
        <c:majorTickMark val="out"/>
        <c:minorTickMark val="none"/>
        <c:tickLblPos val="nextTo"/>
        <c:crossAx val="1997086047"/>
        <c:crosses val="autoZero"/>
        <c:auto val="1"/>
        <c:lblAlgn val="ctr"/>
        <c:lblOffset val="100"/>
        <c:noMultiLvlLbl val="0"/>
      </c:catAx>
      <c:valAx>
        <c:axId val="1997086047"/>
        <c:scaling>
          <c:orientation val="minMax"/>
        </c:scaling>
        <c:delete val="1"/>
        <c:axPos val="l"/>
        <c:numFmt formatCode="General" sourceLinked="1"/>
        <c:majorTickMark val="none"/>
        <c:minorTickMark val="none"/>
        <c:tickLblPos val="nextTo"/>
        <c:crossAx val="1997074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101871979248335E-2"/>
          <c:y val="0.518096843994717"/>
          <c:w val="0.97689823507322571"/>
          <c:h val="0.460315787505503"/>
        </c:manualLayout>
      </c:layout>
      <c:areaChart>
        <c:grouping val="standard"/>
        <c:varyColors val="0"/>
        <c:ser>
          <c:idx val="0"/>
          <c:order val="0"/>
          <c:tx>
            <c:strRef>
              <c:f>'Pivot Report'!$J$5</c:f>
              <c:strCache>
                <c:ptCount val="1"/>
                <c:pt idx="0">
                  <c:v>Total</c:v>
                </c:pt>
              </c:strCache>
            </c:strRef>
          </c:tx>
          <c:spPr>
            <a:solidFill>
              <a:schemeClr val="accent1"/>
            </a:solidFill>
            <a:ln w="25400">
              <a:noFill/>
            </a:ln>
            <a:effectLst/>
          </c:spPr>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7A72-4002-85E4-BF16667AF665}"/>
            </c:ext>
          </c:extLst>
        </c:ser>
        <c:dLbls>
          <c:showLegendKey val="0"/>
          <c:showVal val="0"/>
          <c:showCatName val="0"/>
          <c:showSerName val="0"/>
          <c:showPercent val="0"/>
          <c:showBubbleSize val="0"/>
        </c:dLbls>
        <c:axId val="1997022207"/>
        <c:axId val="1997029407"/>
      </c:areaChart>
      <c:catAx>
        <c:axId val="1997022207"/>
        <c:scaling>
          <c:orientation val="minMax"/>
        </c:scaling>
        <c:delete val="1"/>
        <c:axPos val="b"/>
        <c:numFmt formatCode="General" sourceLinked="1"/>
        <c:majorTickMark val="out"/>
        <c:minorTickMark val="none"/>
        <c:tickLblPos val="nextTo"/>
        <c:crossAx val="1997029407"/>
        <c:crosses val="autoZero"/>
        <c:auto val="1"/>
        <c:lblAlgn val="ctr"/>
        <c:lblOffset val="100"/>
        <c:noMultiLvlLbl val="0"/>
      </c:catAx>
      <c:valAx>
        <c:axId val="1997029407"/>
        <c:scaling>
          <c:orientation val="minMax"/>
        </c:scaling>
        <c:delete val="1"/>
        <c:axPos val="l"/>
        <c:numFmt formatCode="0.00" sourceLinked="1"/>
        <c:majorTickMark val="none"/>
        <c:minorTickMark val="none"/>
        <c:tickLblPos val="nextTo"/>
        <c:crossAx val="1997022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Report!PivotTable6</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938661130440498"/>
          <c:h val="0.99999999999999989"/>
        </c:manualLayout>
      </c:layout>
      <c:areaChart>
        <c:grouping val="standard"/>
        <c:varyColors val="0"/>
        <c:ser>
          <c:idx val="0"/>
          <c:order val="0"/>
          <c:tx>
            <c:strRef>
              <c:f>'Pivot Report'!$P$2</c:f>
              <c:strCache>
                <c:ptCount val="1"/>
                <c:pt idx="0">
                  <c:v>Total</c:v>
                </c:pt>
              </c:strCache>
            </c:strRef>
          </c:tx>
          <c:spPr>
            <a:solidFill>
              <a:schemeClr val="accent1"/>
            </a:solidFill>
            <a:ln>
              <a:noFill/>
            </a:ln>
            <a:effectLst/>
          </c:spPr>
          <c:cat>
            <c:strRef>
              <c:f>'Pivot Report'!$O$3:$O$34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Report'!$P$3:$P$34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ABA2-4CDF-B4D8-94F1446FAD8D}"/>
            </c:ext>
          </c:extLst>
        </c:ser>
        <c:dLbls>
          <c:showLegendKey val="0"/>
          <c:showVal val="0"/>
          <c:showCatName val="0"/>
          <c:showSerName val="0"/>
          <c:showPercent val="0"/>
          <c:showBubbleSize val="0"/>
        </c:dLbls>
        <c:axId val="1997102847"/>
        <c:axId val="1997103807"/>
      </c:areaChart>
      <c:catAx>
        <c:axId val="1997102847"/>
        <c:scaling>
          <c:orientation val="minMax"/>
        </c:scaling>
        <c:delete val="1"/>
        <c:axPos val="b"/>
        <c:numFmt formatCode="General" sourceLinked="1"/>
        <c:majorTickMark val="out"/>
        <c:minorTickMark val="none"/>
        <c:tickLblPos val="nextTo"/>
        <c:crossAx val="1997103807"/>
        <c:crosses val="autoZero"/>
        <c:auto val="1"/>
        <c:lblAlgn val="ctr"/>
        <c:lblOffset val="100"/>
        <c:noMultiLvlLbl val="0"/>
      </c:catAx>
      <c:valAx>
        <c:axId val="1997103807"/>
        <c:scaling>
          <c:orientation val="minMax"/>
        </c:scaling>
        <c:delete val="1"/>
        <c:axPos val="l"/>
        <c:numFmt formatCode="0.00" sourceLinked="1"/>
        <c:majorTickMark val="none"/>
        <c:minorTickMark val="none"/>
        <c:tickLblPos val="nextTo"/>
        <c:crossAx val="19971028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107279693486587E-2"/>
          <c:y val="0"/>
          <c:w val="0.93256704980842908"/>
          <c:h val="0.67035490128951269"/>
        </c:manualLayout>
      </c:layout>
      <c:barChart>
        <c:barDir val="col"/>
        <c:grouping val="clustered"/>
        <c:varyColors val="0"/>
        <c:ser>
          <c:idx val="0"/>
          <c:order val="0"/>
          <c:tx>
            <c:strRef>
              <c:f>'Pivot Report'!$B$46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Report'!$A$47:$A$55</c:f>
              <c:strCache>
                <c:ptCount val="8"/>
                <c:pt idx="0">
                  <c:v>0-09</c:v>
                </c:pt>
                <c:pt idx="1">
                  <c:v>10-19</c:v>
                </c:pt>
                <c:pt idx="2">
                  <c:v>20-29</c:v>
                </c:pt>
                <c:pt idx="3">
                  <c:v>30-39</c:v>
                </c:pt>
                <c:pt idx="4">
                  <c:v>40-49</c:v>
                </c:pt>
                <c:pt idx="5">
                  <c:v>50-59</c:v>
                </c:pt>
                <c:pt idx="6">
                  <c:v>60-69</c:v>
                </c:pt>
                <c:pt idx="7">
                  <c:v>70-79</c:v>
                </c:pt>
              </c:strCache>
            </c:strRef>
          </c:cat>
          <c:val>
            <c:numRef>
              <c:f>'Pivot Report'!$B$47:$B$55</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1-EE95-43A0-8574-6F7A0C921DAC}"/>
            </c:ext>
          </c:extLst>
        </c:ser>
        <c:dLbls>
          <c:dLblPos val="outEnd"/>
          <c:showLegendKey val="0"/>
          <c:showVal val="1"/>
          <c:showCatName val="0"/>
          <c:showSerName val="0"/>
          <c:showPercent val="0"/>
          <c:showBubbleSize val="0"/>
        </c:dLbls>
        <c:gapWidth val="219"/>
        <c:overlap val="-27"/>
        <c:axId val="1997039487"/>
        <c:axId val="1997039967"/>
      </c:barChart>
      <c:catAx>
        <c:axId val="199703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50" b="0" i="0" u="none" strike="noStrike" kern="1200" baseline="0">
                <a:solidFill>
                  <a:schemeClr val="tx1">
                    <a:lumMod val="65000"/>
                    <a:lumOff val="35000"/>
                  </a:schemeClr>
                </a:solidFill>
                <a:latin typeface="+mn-lt"/>
                <a:ea typeface="+mn-ea"/>
                <a:cs typeface="+mn-cs"/>
              </a:defRPr>
            </a:pPr>
            <a:endParaRPr lang="en-US"/>
          </a:p>
        </c:txPr>
        <c:crossAx val="1997039967"/>
        <c:crosses val="autoZero"/>
        <c:auto val="1"/>
        <c:lblAlgn val="ctr"/>
        <c:lblOffset val="100"/>
        <c:noMultiLvlLbl val="0"/>
      </c:catAx>
      <c:valAx>
        <c:axId val="1997039967"/>
        <c:scaling>
          <c:orientation val="minMax"/>
        </c:scaling>
        <c:delete val="1"/>
        <c:axPos val="l"/>
        <c:numFmt formatCode="0" sourceLinked="1"/>
        <c:majorTickMark val="none"/>
        <c:minorTickMark val="none"/>
        <c:tickLblPos val="nextTo"/>
        <c:crossAx val="199703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Report!PivotTable9</c:name>
    <c:fmtId val="11"/>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2"/>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4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Report'!$B$59</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45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Report'!$A$60:$A$62</c:f>
              <c:strCache>
                <c:ptCount val="2"/>
                <c:pt idx="0">
                  <c:v>Delay</c:v>
                </c:pt>
                <c:pt idx="1">
                  <c:v>Ontime</c:v>
                </c:pt>
              </c:strCache>
            </c:strRef>
          </c:cat>
          <c:val>
            <c:numRef>
              <c:f>'Pivot Report'!$B$60:$B$62</c:f>
              <c:numCache>
                <c:formatCode>0</c:formatCode>
                <c:ptCount val="2"/>
                <c:pt idx="0">
                  <c:v>316</c:v>
                </c:pt>
                <c:pt idx="1">
                  <c:v>197</c:v>
                </c:pt>
              </c:numCache>
            </c:numRef>
          </c:val>
          <c:extLst>
            <c:ext xmlns:c16="http://schemas.microsoft.com/office/drawing/2014/chart" uri="{C3380CC4-5D6E-409C-BE32-E72D297353CC}">
              <c16:uniqueId val="{00000005-723E-430E-BD1F-8136E61DE548}"/>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t"/>
      <c:overlay val="0"/>
      <c:spPr>
        <a:solidFill>
          <a:schemeClr val="lt1">
            <a:alpha val="78000"/>
          </a:schemeClr>
        </a:solidFill>
        <a:ln>
          <a:noFill/>
        </a:ln>
        <a:effectLst>
          <a:outerShdw blurRad="50800" dist="50800" dir="5400000" algn="ctr" rotWithShape="0">
            <a:schemeClr val="accent3"/>
          </a:outerShdw>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Report!PivotTable10</c:name>
    <c:fmtId val="1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4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Report'!$B$65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54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Report'!$A$66:$A$68</c:f>
              <c:strCache>
                <c:ptCount val="2"/>
                <c:pt idx="0">
                  <c:v>Female</c:v>
                </c:pt>
                <c:pt idx="1">
                  <c:v>Male</c:v>
                </c:pt>
              </c:strCache>
            </c:strRef>
          </c:cat>
          <c:val>
            <c:numRef>
              <c:f>'Pivot Report'!$B$66:$B$68</c:f>
              <c:numCache>
                <c:formatCode>0</c:formatCode>
                <c:ptCount val="2"/>
                <c:pt idx="0">
                  <c:v>241</c:v>
                </c:pt>
                <c:pt idx="1">
                  <c:v>272</c:v>
                </c:pt>
              </c:numCache>
            </c:numRef>
          </c:val>
          <c:extLst>
            <c:ext xmlns:c16="http://schemas.microsoft.com/office/drawing/2014/chart" uri="{C3380CC4-5D6E-409C-BE32-E72D297353CC}">
              <c16:uniqueId val="{00000005-08D9-4C08-B269-AAACD106EBD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Report!PivotTable11</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Report'!$B$71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4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Report'!$A$72:$A$80</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Report'!$B$72:$B$80</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1-7DF3-405D-99E4-734911866D7F}"/>
            </c:ext>
          </c:extLst>
        </c:ser>
        <c:dLbls>
          <c:showLegendKey val="0"/>
          <c:showVal val="0"/>
          <c:showCatName val="0"/>
          <c:showSerName val="0"/>
          <c:showPercent val="0"/>
          <c:showBubbleSize val="0"/>
        </c:dLbls>
        <c:gapWidth val="182"/>
        <c:axId val="942111936"/>
        <c:axId val="942137856"/>
      </c:barChart>
      <c:catAx>
        <c:axId val="942111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60" b="0" i="0" u="none" strike="noStrike" kern="1200" baseline="0">
                <a:solidFill>
                  <a:schemeClr val="tx1">
                    <a:lumMod val="65000"/>
                    <a:lumOff val="35000"/>
                  </a:schemeClr>
                </a:solidFill>
                <a:latin typeface="+mn-lt"/>
                <a:ea typeface="+mn-ea"/>
                <a:cs typeface="+mn-cs"/>
              </a:defRPr>
            </a:pPr>
            <a:endParaRPr lang="en-US"/>
          </a:p>
        </c:txPr>
        <c:crossAx val="942137856"/>
        <c:crosses val="autoZero"/>
        <c:auto val="1"/>
        <c:lblAlgn val="ctr"/>
        <c:lblOffset val="100"/>
        <c:noMultiLvlLbl val="0"/>
      </c:catAx>
      <c:valAx>
        <c:axId val="942137856"/>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630" b="0" i="0" u="none" strike="noStrike" kern="1200" baseline="0">
                <a:solidFill>
                  <a:schemeClr val="tx1">
                    <a:lumMod val="65000"/>
                    <a:lumOff val="35000"/>
                  </a:schemeClr>
                </a:solidFill>
                <a:latin typeface="+mn-lt"/>
                <a:ea typeface="+mn-ea"/>
                <a:cs typeface="+mn-cs"/>
              </a:defRPr>
            </a:pPr>
            <a:endParaRPr lang="en-US"/>
          </a:p>
        </c:txPr>
        <c:crossAx val="94211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Report!PivotTable4</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7646936258448E-2"/>
          <c:y val="0"/>
          <c:w val="0.94061433727034138"/>
          <c:h val="0.87208162809436052"/>
        </c:manualLayout>
      </c:layout>
      <c:areaChart>
        <c:grouping val="standard"/>
        <c:varyColors val="0"/>
        <c:ser>
          <c:idx val="0"/>
          <c:order val="0"/>
          <c:tx>
            <c:strRef>
              <c:f>'Pivot Report'!$F$2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Report'!$E$3:$E$34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Report'!$F$3:$F$34</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1-A8EE-4374-9AF0-7A2B5A126C7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97074527"/>
        <c:axId val="1997086047"/>
      </c:areaChart>
      <c:catAx>
        <c:axId val="19970745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7086047"/>
        <c:crosses val="autoZero"/>
        <c:auto val="1"/>
        <c:lblAlgn val="ctr"/>
        <c:lblOffset val="100"/>
        <c:noMultiLvlLbl val="0"/>
      </c:catAx>
      <c:valAx>
        <c:axId val="1997086047"/>
        <c:scaling>
          <c:orientation val="minMax"/>
        </c:scaling>
        <c:delete val="1"/>
        <c:axPos val="l"/>
        <c:numFmt formatCode="General" sourceLinked="1"/>
        <c:majorTickMark val="out"/>
        <c:minorTickMark val="none"/>
        <c:tickLblPos val="nextTo"/>
        <c:crossAx val="19970745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Report!PivotTable5</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Report'!$J$5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Report'!$I$6:$I$37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Report'!$J$6:$J$37</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1-8F17-4A64-95CC-1BAB837BB7A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97099007"/>
        <c:axId val="1997113407"/>
      </c:areaChart>
      <c:catAx>
        <c:axId val="199709900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997113407"/>
        <c:crosses val="autoZero"/>
        <c:auto val="1"/>
        <c:lblAlgn val="ctr"/>
        <c:lblOffset val="100"/>
        <c:noMultiLvlLbl val="0"/>
      </c:catAx>
      <c:valAx>
        <c:axId val="1997113407"/>
        <c:scaling>
          <c:orientation val="minMax"/>
        </c:scaling>
        <c:delete val="1"/>
        <c:axPos val="l"/>
        <c:numFmt formatCode="0.00" sourceLinked="1"/>
        <c:majorTickMark val="out"/>
        <c:minorTickMark val="none"/>
        <c:tickLblPos val="nextTo"/>
        <c:crossAx val="19970990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with interactive dashboard (1).xlsx]Pivot Report!PivotTable6</c:name>
    <c:fmtId val="3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Report'!$P$2</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Report'!$O$3:$O$34</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Report'!$P$3:$P$34</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8789-458F-9E75-7E733EFC5CC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97061567"/>
        <c:axId val="1997031327"/>
      </c:areaChart>
      <c:catAx>
        <c:axId val="199706156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1200" b="0" i="0" u="none" strike="noStrike" kern="1200" baseline="0">
                <a:solidFill>
                  <a:schemeClr val="lt1"/>
                </a:solidFill>
                <a:latin typeface="+mn-lt"/>
                <a:ea typeface="+mn-ea"/>
                <a:cs typeface="+mn-cs"/>
              </a:defRPr>
            </a:pPr>
            <a:endParaRPr lang="en-US"/>
          </a:p>
        </c:txPr>
        <c:crossAx val="1997031327"/>
        <c:crosses val="autoZero"/>
        <c:auto val="1"/>
        <c:lblAlgn val="ctr"/>
        <c:lblOffset val="100"/>
        <c:noMultiLvlLbl val="0"/>
      </c:catAx>
      <c:valAx>
        <c:axId val="1997031327"/>
        <c:scaling>
          <c:orientation val="minMax"/>
        </c:scaling>
        <c:delete val="1"/>
        <c:axPos val="l"/>
        <c:numFmt formatCode="0.00" sourceLinked="1"/>
        <c:majorTickMark val="out"/>
        <c:minorTickMark val="none"/>
        <c:tickLblPos val="nextTo"/>
        <c:crossAx val="19970615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chart" Target="../charts/chart3.xml"/><Relationship Id="rId18" Type="http://schemas.openxmlformats.org/officeDocument/2006/relationships/chart" Target="../charts/chart7.xml"/><Relationship Id="rId3" Type="http://schemas.openxmlformats.org/officeDocument/2006/relationships/hyperlink" Target="#'Average Satisfaction Score dail'!A1"/><Relationship Id="rId7" Type="http://schemas.openxmlformats.org/officeDocument/2006/relationships/image" Target="../media/image4.png"/><Relationship Id="rId12" Type="http://schemas.openxmlformats.org/officeDocument/2006/relationships/hyperlink" Target="#'Average Patient waittime daily '!A1"/><Relationship Id="rId17" Type="http://schemas.openxmlformats.org/officeDocument/2006/relationships/chart" Target="../charts/chart6.xml"/><Relationship Id="rId2" Type="http://schemas.openxmlformats.org/officeDocument/2006/relationships/hyperlink" Target="#'Patient Wait Time'!A1"/><Relationship Id="rId16" Type="http://schemas.openxmlformats.org/officeDocument/2006/relationships/chart" Target="../charts/chart5.xml"/><Relationship Id="rId1" Type="http://schemas.openxmlformats.org/officeDocument/2006/relationships/hyperlink" Target="#'Daily ER no. of Patient'!A1"/><Relationship Id="rId6" Type="http://schemas.openxmlformats.org/officeDocument/2006/relationships/image" Target="../media/image3.svg"/><Relationship Id="rId11" Type="http://schemas.openxmlformats.org/officeDocument/2006/relationships/chart" Target="../charts/chart2.xml"/><Relationship Id="rId5" Type="http://schemas.openxmlformats.org/officeDocument/2006/relationships/image" Target="../media/image2.png"/><Relationship Id="rId15" Type="http://schemas.openxmlformats.org/officeDocument/2006/relationships/image" Target="../media/image8.emf"/><Relationship Id="rId10" Type="http://schemas.openxmlformats.org/officeDocument/2006/relationships/image" Target="../media/image7.svg"/><Relationship Id="rId19" Type="http://schemas.openxmlformats.org/officeDocument/2006/relationships/chart" Target="../charts/chart8.xml"/><Relationship Id="rId4" Type="http://schemas.openxmlformats.org/officeDocument/2006/relationships/image" Target="../media/image1.png"/><Relationship Id="rId9" Type="http://schemas.openxmlformats.org/officeDocument/2006/relationships/image" Target="../media/image6.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609599</xdr:colOff>
      <xdr:row>40</xdr:row>
      <xdr:rowOff>57150</xdr:rowOff>
    </xdr:from>
    <xdr:to>
      <xdr:col>4</xdr:col>
      <xdr:colOff>914400</xdr:colOff>
      <xdr:row>43</xdr:row>
      <xdr:rowOff>85725</xdr:rowOff>
    </xdr:to>
    <xdr:graphicFrame macro="">
      <xdr:nvGraphicFramePr>
        <xdr:cNvPr id="11" name="Chart 10">
          <a:extLst>
            <a:ext uri="{FF2B5EF4-FFF2-40B4-BE49-F238E27FC236}">
              <a16:creationId xmlns:a16="http://schemas.microsoft.com/office/drawing/2014/main" id="{826627CA-4893-B038-6471-16D7692C4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33619</xdr:colOff>
      <xdr:row>0</xdr:row>
      <xdr:rowOff>56029</xdr:rowOff>
    </xdr:from>
    <xdr:to>
      <xdr:col>4</xdr:col>
      <xdr:colOff>358589</xdr:colOff>
      <xdr:row>2</xdr:row>
      <xdr:rowOff>100853</xdr:rowOff>
    </xdr:to>
    <xdr:sp macro="" textlink="">
      <xdr:nvSpPr>
        <xdr:cNvPr id="2" name="Rectangle: Rounded Corners 1">
          <a:extLst>
            <a:ext uri="{FF2B5EF4-FFF2-40B4-BE49-F238E27FC236}">
              <a16:creationId xmlns:a16="http://schemas.microsoft.com/office/drawing/2014/main" id="{60103B91-1C82-0F9B-8DC9-B658109E6228}"/>
            </a:ext>
          </a:extLst>
        </xdr:cNvPr>
        <xdr:cNvSpPr/>
      </xdr:nvSpPr>
      <xdr:spPr>
        <a:xfrm>
          <a:off x="33619" y="56029"/>
          <a:ext cx="2767852" cy="425824"/>
        </a:xfrm>
        <a:prstGeom prst="roundRect">
          <a:avLst>
            <a:gd name="adj" fmla="val 35088"/>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IN" sz="1100"/>
        </a:p>
      </xdr:txBody>
    </xdr:sp>
    <xdr:clientData/>
  </xdr:twoCellAnchor>
  <xdr:twoCellAnchor editAs="absolute">
    <xdr:from>
      <xdr:col>4</xdr:col>
      <xdr:colOff>403413</xdr:colOff>
      <xdr:row>0</xdr:row>
      <xdr:rowOff>39220</xdr:rowOff>
    </xdr:from>
    <xdr:to>
      <xdr:col>6</xdr:col>
      <xdr:colOff>212911</xdr:colOff>
      <xdr:row>2</xdr:row>
      <xdr:rowOff>84044</xdr:rowOff>
    </xdr:to>
    <xdr:sp macro="" textlink="">
      <xdr:nvSpPr>
        <xdr:cNvPr id="3" name="Rectangle: Rounded Corners 2">
          <a:extLst>
            <a:ext uri="{FF2B5EF4-FFF2-40B4-BE49-F238E27FC236}">
              <a16:creationId xmlns:a16="http://schemas.microsoft.com/office/drawing/2014/main" id="{582B66E3-0A42-ADCF-8B50-8972035BB5D0}"/>
            </a:ext>
          </a:extLst>
        </xdr:cNvPr>
        <xdr:cNvSpPr/>
      </xdr:nvSpPr>
      <xdr:spPr>
        <a:xfrm>
          <a:off x="2846295" y="39220"/>
          <a:ext cx="1030940" cy="425824"/>
        </a:xfrm>
        <a:prstGeom prst="roundRect">
          <a:avLst>
            <a:gd name="adj" fmla="val 7457"/>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252132</xdr:colOff>
      <xdr:row>0</xdr:row>
      <xdr:rowOff>39219</xdr:rowOff>
    </xdr:from>
    <xdr:to>
      <xdr:col>8</xdr:col>
      <xdr:colOff>61631</xdr:colOff>
      <xdr:row>6</xdr:row>
      <xdr:rowOff>156882</xdr:rowOff>
    </xdr:to>
    <xdr:sp macro="" textlink="">
      <xdr:nvSpPr>
        <xdr:cNvPr id="4" name="Rectangle: Rounded Corners 3">
          <a:extLst>
            <a:ext uri="{FF2B5EF4-FFF2-40B4-BE49-F238E27FC236}">
              <a16:creationId xmlns:a16="http://schemas.microsoft.com/office/drawing/2014/main" id="{9EDF5A67-1E8A-3B34-9F94-8ED65F1952E5}"/>
            </a:ext>
          </a:extLst>
        </xdr:cNvPr>
        <xdr:cNvSpPr/>
      </xdr:nvSpPr>
      <xdr:spPr>
        <a:xfrm>
          <a:off x="3916456" y="39219"/>
          <a:ext cx="1030940" cy="1260663"/>
        </a:xfrm>
        <a:prstGeom prst="roundRect">
          <a:avLst>
            <a:gd name="adj" fmla="val 5959"/>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100853</xdr:colOff>
      <xdr:row>0</xdr:row>
      <xdr:rowOff>39219</xdr:rowOff>
    </xdr:from>
    <xdr:to>
      <xdr:col>9</xdr:col>
      <xdr:colOff>521073</xdr:colOff>
      <xdr:row>6</xdr:row>
      <xdr:rowOff>156882</xdr:rowOff>
    </xdr:to>
    <xdr:sp macro="" textlink="">
      <xdr:nvSpPr>
        <xdr:cNvPr id="5" name="Rectangle: Rounded Corners 4">
          <a:extLst>
            <a:ext uri="{FF2B5EF4-FFF2-40B4-BE49-F238E27FC236}">
              <a16:creationId xmlns:a16="http://schemas.microsoft.com/office/drawing/2014/main" id="{67AC19CA-FCAF-EA72-ABDB-61939C9DAACE}"/>
            </a:ext>
          </a:extLst>
        </xdr:cNvPr>
        <xdr:cNvSpPr/>
      </xdr:nvSpPr>
      <xdr:spPr>
        <a:xfrm>
          <a:off x="4986618" y="39219"/>
          <a:ext cx="1030940" cy="1260663"/>
        </a:xfrm>
        <a:prstGeom prst="roundRect">
          <a:avLst>
            <a:gd name="adj" fmla="val 6502"/>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33619</xdr:colOff>
      <xdr:row>2</xdr:row>
      <xdr:rowOff>140071</xdr:rowOff>
    </xdr:from>
    <xdr:to>
      <xdr:col>1</xdr:col>
      <xdr:colOff>84044</xdr:colOff>
      <xdr:row>13</xdr:row>
      <xdr:rowOff>78441</xdr:rowOff>
    </xdr:to>
    <xdr:sp macro="" textlink="">
      <xdr:nvSpPr>
        <xdr:cNvPr id="6" name="Rectangle: Rounded Corners 5">
          <a:extLst>
            <a:ext uri="{FF2B5EF4-FFF2-40B4-BE49-F238E27FC236}">
              <a16:creationId xmlns:a16="http://schemas.microsoft.com/office/drawing/2014/main" id="{7FD1CA66-08A6-F8F0-B5F1-73CFF348D096}"/>
            </a:ext>
          </a:extLst>
        </xdr:cNvPr>
        <xdr:cNvSpPr/>
      </xdr:nvSpPr>
      <xdr:spPr>
        <a:xfrm>
          <a:off x="33619" y="521071"/>
          <a:ext cx="661146" cy="2033870"/>
        </a:xfrm>
        <a:prstGeom prst="roundRect">
          <a:avLst>
            <a:gd name="adj" fmla="val 62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117662</xdr:colOff>
      <xdr:row>2</xdr:row>
      <xdr:rowOff>140071</xdr:rowOff>
    </xdr:from>
    <xdr:to>
      <xdr:col>2</xdr:col>
      <xdr:colOff>523679</xdr:colOff>
      <xdr:row>7</xdr:row>
      <xdr:rowOff>16808</xdr:rowOff>
    </xdr:to>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8A71D4C-06D0-15EC-E965-82BAB9C7FE7F}"/>
            </a:ext>
          </a:extLst>
        </xdr:cNvPr>
        <xdr:cNvSpPr/>
      </xdr:nvSpPr>
      <xdr:spPr>
        <a:xfrm>
          <a:off x="728383" y="521071"/>
          <a:ext cx="1016737" cy="829237"/>
        </a:xfrm>
        <a:prstGeom prst="roundRect">
          <a:avLst>
            <a:gd name="adj" fmla="val 62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4301</xdr:colOff>
      <xdr:row>2</xdr:row>
      <xdr:rowOff>134468</xdr:rowOff>
    </xdr:from>
    <xdr:to>
      <xdr:col>4</xdr:col>
      <xdr:colOff>410318</xdr:colOff>
      <xdr:row>7</xdr:row>
      <xdr:rowOff>11205</xdr:rowOff>
    </xdr:to>
    <xdr:sp macro="" textlink="">
      <xdr:nvSpPr>
        <xdr:cNvPr id="12" name="Rectangle: Rounded Corners 11">
          <a:hlinkClick xmlns:r="http://schemas.openxmlformats.org/officeDocument/2006/relationships" r:id="rId2"/>
          <a:extLst>
            <a:ext uri="{FF2B5EF4-FFF2-40B4-BE49-F238E27FC236}">
              <a16:creationId xmlns:a16="http://schemas.microsoft.com/office/drawing/2014/main" id="{5B2F8360-4E44-FAC1-BB4B-ACB316821243}"/>
            </a:ext>
          </a:extLst>
        </xdr:cNvPr>
        <xdr:cNvSpPr/>
      </xdr:nvSpPr>
      <xdr:spPr>
        <a:xfrm>
          <a:off x="1836463" y="515468"/>
          <a:ext cx="1016737" cy="829237"/>
        </a:xfrm>
        <a:prstGeom prst="roundRect">
          <a:avLst>
            <a:gd name="adj" fmla="val 629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459441</xdr:colOff>
      <xdr:row>2</xdr:row>
      <xdr:rowOff>123265</xdr:rowOff>
    </xdr:from>
    <xdr:to>
      <xdr:col>6</xdr:col>
      <xdr:colOff>224116</xdr:colOff>
      <xdr:row>7</xdr:row>
      <xdr:rowOff>16808</xdr:rowOff>
    </xdr:to>
    <xdr:sp macro="" textlink="">
      <xdr:nvSpPr>
        <xdr:cNvPr id="13" name="Rectangle: Rounded Corners 12">
          <a:hlinkClick xmlns:r="http://schemas.openxmlformats.org/officeDocument/2006/relationships" r:id="rId3"/>
          <a:extLst>
            <a:ext uri="{FF2B5EF4-FFF2-40B4-BE49-F238E27FC236}">
              <a16:creationId xmlns:a16="http://schemas.microsoft.com/office/drawing/2014/main" id="{6E3A31FF-171B-E81C-9ABB-2C932F18A68B}"/>
            </a:ext>
          </a:extLst>
        </xdr:cNvPr>
        <xdr:cNvSpPr/>
      </xdr:nvSpPr>
      <xdr:spPr>
        <a:xfrm>
          <a:off x="2902323" y="504265"/>
          <a:ext cx="986117" cy="846043"/>
        </a:xfrm>
        <a:prstGeom prst="roundRect">
          <a:avLst>
            <a:gd name="adj" fmla="val 62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800"/>
        </a:p>
      </xdr:txBody>
    </xdr:sp>
    <xdr:clientData/>
  </xdr:twoCellAnchor>
  <xdr:twoCellAnchor editAs="absolute">
    <xdr:from>
      <xdr:col>1</xdr:col>
      <xdr:colOff>117662</xdr:colOff>
      <xdr:row>7</xdr:row>
      <xdr:rowOff>50423</xdr:rowOff>
    </xdr:from>
    <xdr:to>
      <xdr:col>6</xdr:col>
      <xdr:colOff>229720</xdr:colOff>
      <xdr:row>9</xdr:row>
      <xdr:rowOff>33618</xdr:rowOff>
    </xdr:to>
    <xdr:sp macro="" textlink="">
      <xdr:nvSpPr>
        <xdr:cNvPr id="19" name="Rectangle: Rounded Corners 18">
          <a:extLst>
            <a:ext uri="{FF2B5EF4-FFF2-40B4-BE49-F238E27FC236}">
              <a16:creationId xmlns:a16="http://schemas.microsoft.com/office/drawing/2014/main" id="{4E396B60-E614-C4AD-5340-D9A1709808F4}"/>
            </a:ext>
          </a:extLst>
        </xdr:cNvPr>
        <xdr:cNvSpPr/>
      </xdr:nvSpPr>
      <xdr:spPr>
        <a:xfrm>
          <a:off x="728383" y="1383923"/>
          <a:ext cx="3165661" cy="364195"/>
        </a:xfrm>
        <a:prstGeom prst="roundRect">
          <a:avLst>
            <a:gd name="adj" fmla="val 62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117662</xdr:colOff>
      <xdr:row>9</xdr:row>
      <xdr:rowOff>67235</xdr:rowOff>
    </xdr:from>
    <xdr:to>
      <xdr:col>6</xdr:col>
      <xdr:colOff>229720</xdr:colOff>
      <xdr:row>13</xdr:row>
      <xdr:rowOff>56029</xdr:rowOff>
    </xdr:to>
    <xdr:sp macro="" textlink="">
      <xdr:nvSpPr>
        <xdr:cNvPr id="20" name="Rectangle: Rounded Corners 19">
          <a:extLst>
            <a:ext uri="{FF2B5EF4-FFF2-40B4-BE49-F238E27FC236}">
              <a16:creationId xmlns:a16="http://schemas.microsoft.com/office/drawing/2014/main" id="{CCCEB1E4-066E-78A9-DD6A-13BA49D2AF91}"/>
            </a:ext>
          </a:extLst>
        </xdr:cNvPr>
        <xdr:cNvSpPr/>
      </xdr:nvSpPr>
      <xdr:spPr>
        <a:xfrm>
          <a:off x="728383" y="1781735"/>
          <a:ext cx="3165661" cy="750794"/>
        </a:xfrm>
        <a:prstGeom prst="roundRect">
          <a:avLst>
            <a:gd name="adj" fmla="val 62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263340</xdr:colOff>
      <xdr:row>7</xdr:row>
      <xdr:rowOff>22412</xdr:rowOff>
    </xdr:from>
    <xdr:to>
      <xdr:col>9</xdr:col>
      <xdr:colOff>509869</xdr:colOff>
      <xdr:row>13</xdr:row>
      <xdr:rowOff>61634</xdr:rowOff>
    </xdr:to>
    <xdr:sp macro="" textlink="">
      <xdr:nvSpPr>
        <xdr:cNvPr id="21" name="Rectangle: Rounded Corners 20">
          <a:extLst>
            <a:ext uri="{FF2B5EF4-FFF2-40B4-BE49-F238E27FC236}">
              <a16:creationId xmlns:a16="http://schemas.microsoft.com/office/drawing/2014/main" id="{66A6844D-D420-12B8-C9EA-EDF271A47E61}"/>
            </a:ext>
          </a:extLst>
        </xdr:cNvPr>
        <xdr:cNvSpPr/>
      </xdr:nvSpPr>
      <xdr:spPr>
        <a:xfrm>
          <a:off x="3927664" y="1355912"/>
          <a:ext cx="2078690" cy="1182222"/>
        </a:xfrm>
        <a:prstGeom prst="roundRect">
          <a:avLst>
            <a:gd name="adj" fmla="val 1593"/>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56029</xdr:colOff>
      <xdr:row>0</xdr:row>
      <xdr:rowOff>100853</xdr:rowOff>
    </xdr:from>
    <xdr:to>
      <xdr:col>4</xdr:col>
      <xdr:colOff>386603</xdr:colOff>
      <xdr:row>1</xdr:row>
      <xdr:rowOff>39221</xdr:rowOff>
    </xdr:to>
    <xdr:sp macro="" textlink="">
      <xdr:nvSpPr>
        <xdr:cNvPr id="22" name="TextBox 21">
          <a:extLst>
            <a:ext uri="{FF2B5EF4-FFF2-40B4-BE49-F238E27FC236}">
              <a16:creationId xmlns:a16="http://schemas.microsoft.com/office/drawing/2014/main" id="{F22384B3-72A3-EBE3-C592-18C2C7F27B2B}"/>
            </a:ext>
          </a:extLst>
        </xdr:cNvPr>
        <xdr:cNvSpPr txBox="1"/>
      </xdr:nvSpPr>
      <xdr:spPr>
        <a:xfrm>
          <a:off x="666750" y="100853"/>
          <a:ext cx="2162735" cy="1288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900"/>
            <a:t>Hospital Emergency Room</a:t>
          </a:r>
          <a:r>
            <a:rPr lang="en-IN" sz="900" baseline="0"/>
            <a:t> Dashboard</a:t>
          </a:r>
          <a:endParaRPr lang="en-IN" sz="900"/>
        </a:p>
      </xdr:txBody>
    </xdr:sp>
    <xdr:clientData/>
  </xdr:twoCellAnchor>
  <xdr:twoCellAnchor editAs="oneCell">
    <xdr:from>
      <xdr:col>0</xdr:col>
      <xdr:colOff>117663</xdr:colOff>
      <xdr:row>0</xdr:row>
      <xdr:rowOff>101738</xdr:rowOff>
    </xdr:from>
    <xdr:to>
      <xdr:col>0</xdr:col>
      <xdr:colOff>545409</xdr:colOff>
      <xdr:row>2</xdr:row>
      <xdr:rowOff>22412</xdr:rowOff>
    </xdr:to>
    <xdr:pic>
      <xdr:nvPicPr>
        <xdr:cNvPr id="24" name="Picture 23">
          <a:extLst>
            <a:ext uri="{FF2B5EF4-FFF2-40B4-BE49-F238E27FC236}">
              <a16:creationId xmlns:a16="http://schemas.microsoft.com/office/drawing/2014/main" id="{AC767E4C-DF6C-D6EF-C0FB-B95DAA79BBB7}"/>
            </a:ext>
          </a:extLst>
        </xdr:cNvPr>
        <xdr:cNvPicPr>
          <a:picLocks noChangeAspect="1"/>
        </xdr:cNvPicPr>
      </xdr:nvPicPr>
      <xdr:blipFill rotWithShape="1">
        <a:blip xmlns:r="http://schemas.openxmlformats.org/officeDocument/2006/relationships" r:embed="rId4"/>
        <a:srcRect l="18465" t="12156" r="16564" b="9032"/>
        <a:stretch>
          <a:fillRect/>
        </a:stretch>
      </xdr:blipFill>
      <xdr:spPr>
        <a:xfrm>
          <a:off x="117663" y="101738"/>
          <a:ext cx="427746" cy="301674"/>
        </a:xfrm>
        <a:prstGeom prst="rect">
          <a:avLst/>
        </a:prstGeom>
      </xdr:spPr>
    </xdr:pic>
    <xdr:clientData/>
  </xdr:twoCellAnchor>
  <xdr:twoCellAnchor>
    <xdr:from>
      <xdr:col>1</xdr:col>
      <xdr:colOff>526675</xdr:colOff>
      <xdr:row>1</xdr:row>
      <xdr:rowOff>56029</xdr:rowOff>
    </xdr:from>
    <xdr:to>
      <xdr:col>2</xdr:col>
      <xdr:colOff>532280</xdr:colOff>
      <xdr:row>1</xdr:row>
      <xdr:rowOff>173691</xdr:rowOff>
    </xdr:to>
    <xdr:sp macro="" textlink="">
      <xdr:nvSpPr>
        <xdr:cNvPr id="25" name="TextBox 24">
          <a:extLst>
            <a:ext uri="{FF2B5EF4-FFF2-40B4-BE49-F238E27FC236}">
              <a16:creationId xmlns:a16="http://schemas.microsoft.com/office/drawing/2014/main" id="{28713028-A3AC-BC6E-4F23-C618C960180A}"/>
            </a:ext>
          </a:extLst>
        </xdr:cNvPr>
        <xdr:cNvSpPr txBox="1"/>
      </xdr:nvSpPr>
      <xdr:spPr>
        <a:xfrm>
          <a:off x="1137396" y="246529"/>
          <a:ext cx="616325" cy="11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00"/>
            <a:t>Monthly</a:t>
          </a:r>
          <a:r>
            <a:rPr lang="en-IN" sz="800" baseline="0"/>
            <a:t> Report</a:t>
          </a:r>
          <a:endParaRPr lang="en-IN" sz="800"/>
        </a:p>
      </xdr:txBody>
    </xdr:sp>
    <xdr:clientData/>
  </xdr:twoCellAnchor>
  <xdr:twoCellAnchor>
    <xdr:from>
      <xdr:col>1</xdr:col>
      <xdr:colOff>173692</xdr:colOff>
      <xdr:row>3</xdr:row>
      <xdr:rowOff>173691</xdr:rowOff>
    </xdr:from>
    <xdr:to>
      <xdr:col>2</xdr:col>
      <xdr:colOff>504266</xdr:colOff>
      <xdr:row>4</xdr:row>
      <xdr:rowOff>95249</xdr:rowOff>
    </xdr:to>
    <xdr:sp macro="" textlink="">
      <xdr:nvSpPr>
        <xdr:cNvPr id="26" name="TextBox 25">
          <a:extLst>
            <a:ext uri="{FF2B5EF4-FFF2-40B4-BE49-F238E27FC236}">
              <a16:creationId xmlns:a16="http://schemas.microsoft.com/office/drawing/2014/main" id="{3A500500-0934-F6BB-20BF-811A2136B92B}"/>
            </a:ext>
          </a:extLst>
        </xdr:cNvPr>
        <xdr:cNvSpPr txBox="1"/>
      </xdr:nvSpPr>
      <xdr:spPr>
        <a:xfrm>
          <a:off x="784413" y="745191"/>
          <a:ext cx="941294" cy="112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00"/>
            <a:t>        No.</a:t>
          </a:r>
          <a:r>
            <a:rPr lang="en-IN" sz="800" baseline="0"/>
            <a:t> of Patient</a:t>
          </a:r>
          <a:endParaRPr lang="en-IN" sz="800"/>
        </a:p>
      </xdr:txBody>
    </xdr:sp>
    <xdr:clientData/>
  </xdr:twoCellAnchor>
  <xdr:twoCellAnchor>
    <xdr:from>
      <xdr:col>1</xdr:col>
      <xdr:colOff>465045</xdr:colOff>
      <xdr:row>3</xdr:row>
      <xdr:rowOff>22411</xdr:rowOff>
    </xdr:from>
    <xdr:to>
      <xdr:col>2</xdr:col>
      <xdr:colOff>179295</xdr:colOff>
      <xdr:row>4</xdr:row>
      <xdr:rowOff>5603</xdr:rowOff>
    </xdr:to>
    <xdr:sp macro="" textlink="'Pivot Report'!A5">
      <xdr:nvSpPr>
        <xdr:cNvPr id="27" name="TextBox 26">
          <a:extLst>
            <a:ext uri="{FF2B5EF4-FFF2-40B4-BE49-F238E27FC236}">
              <a16:creationId xmlns:a16="http://schemas.microsoft.com/office/drawing/2014/main" id="{4B8E463A-A03B-4F63-5124-E8EFC83A5DD3}"/>
            </a:ext>
          </a:extLst>
        </xdr:cNvPr>
        <xdr:cNvSpPr txBox="1"/>
      </xdr:nvSpPr>
      <xdr:spPr>
        <a:xfrm>
          <a:off x="1075766" y="593911"/>
          <a:ext cx="324970" cy="173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E4EA0123-5DDB-41FE-8633-83EB54338703}" type="TxLink">
            <a:rPr lang="en-US" sz="1100" b="0" i="0" u="none" strike="noStrike">
              <a:solidFill>
                <a:srgbClr val="000000"/>
              </a:solidFill>
              <a:latin typeface="Aptos Narrow"/>
            </a:rPr>
            <a:t>513</a:t>
          </a:fld>
          <a:endParaRPr lang="en-IN" sz="800"/>
        </a:p>
      </xdr:txBody>
    </xdr:sp>
    <xdr:clientData/>
  </xdr:twoCellAnchor>
  <xdr:twoCellAnchor>
    <xdr:from>
      <xdr:col>2</xdr:col>
      <xdr:colOff>560295</xdr:colOff>
      <xdr:row>3</xdr:row>
      <xdr:rowOff>173691</xdr:rowOff>
    </xdr:from>
    <xdr:to>
      <xdr:col>4</xdr:col>
      <xdr:colOff>280148</xdr:colOff>
      <xdr:row>4</xdr:row>
      <xdr:rowOff>95249</xdr:rowOff>
    </xdr:to>
    <xdr:sp macro="" textlink="">
      <xdr:nvSpPr>
        <xdr:cNvPr id="28" name="TextBox 27">
          <a:extLst>
            <a:ext uri="{FF2B5EF4-FFF2-40B4-BE49-F238E27FC236}">
              <a16:creationId xmlns:a16="http://schemas.microsoft.com/office/drawing/2014/main" id="{36203F15-AE25-8FC0-4164-11A1795C81BB}"/>
            </a:ext>
          </a:extLst>
        </xdr:cNvPr>
        <xdr:cNvSpPr txBox="1"/>
      </xdr:nvSpPr>
      <xdr:spPr>
        <a:xfrm>
          <a:off x="1781736" y="745191"/>
          <a:ext cx="941294" cy="1120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00"/>
            <a:t>         Average</a:t>
          </a:r>
          <a:r>
            <a:rPr lang="en-IN" sz="800" baseline="0"/>
            <a:t> Wait Time</a:t>
          </a:r>
          <a:endParaRPr lang="en-IN" sz="800"/>
        </a:p>
      </xdr:txBody>
    </xdr:sp>
    <xdr:clientData/>
  </xdr:twoCellAnchor>
  <xdr:twoCellAnchor>
    <xdr:from>
      <xdr:col>3</xdr:col>
      <xdr:colOff>313765</xdr:colOff>
      <xdr:row>3</xdr:row>
      <xdr:rowOff>22411</xdr:rowOff>
    </xdr:from>
    <xdr:to>
      <xdr:col>4</xdr:col>
      <xdr:colOff>28015</xdr:colOff>
      <xdr:row>4</xdr:row>
      <xdr:rowOff>5603</xdr:rowOff>
    </xdr:to>
    <xdr:sp macro="" textlink="'Pivot Report'!A10">
      <xdr:nvSpPr>
        <xdr:cNvPr id="29" name="TextBox 28">
          <a:extLst>
            <a:ext uri="{FF2B5EF4-FFF2-40B4-BE49-F238E27FC236}">
              <a16:creationId xmlns:a16="http://schemas.microsoft.com/office/drawing/2014/main" id="{486490DF-9681-7EB8-1849-6ECF7B58BA37}"/>
            </a:ext>
          </a:extLst>
        </xdr:cNvPr>
        <xdr:cNvSpPr txBox="1"/>
      </xdr:nvSpPr>
      <xdr:spPr>
        <a:xfrm>
          <a:off x="2145927" y="593911"/>
          <a:ext cx="324970" cy="173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A81C94F8-37FA-450B-9CF7-E9591D7BEE06}" type="TxLink">
            <a:rPr lang="en-US" sz="1100" b="0" i="0" u="none" strike="noStrike">
              <a:solidFill>
                <a:srgbClr val="000000"/>
              </a:solidFill>
              <a:latin typeface="Aptos Narrow"/>
            </a:rPr>
            <a:t>36.32</a:t>
          </a:fld>
          <a:endParaRPr lang="en-IN" sz="800"/>
        </a:p>
      </xdr:txBody>
    </xdr:sp>
    <xdr:clientData/>
  </xdr:twoCellAnchor>
  <xdr:twoCellAnchor>
    <xdr:from>
      <xdr:col>5</xdr:col>
      <xdr:colOff>162485</xdr:colOff>
      <xdr:row>3</xdr:row>
      <xdr:rowOff>22411</xdr:rowOff>
    </xdr:from>
    <xdr:to>
      <xdr:col>5</xdr:col>
      <xdr:colOff>487455</xdr:colOff>
      <xdr:row>4</xdr:row>
      <xdr:rowOff>5603</xdr:rowOff>
    </xdr:to>
    <xdr:sp macro="" textlink="'Pivot Report'!A14">
      <xdr:nvSpPr>
        <xdr:cNvPr id="30" name="TextBox 29">
          <a:extLst>
            <a:ext uri="{FF2B5EF4-FFF2-40B4-BE49-F238E27FC236}">
              <a16:creationId xmlns:a16="http://schemas.microsoft.com/office/drawing/2014/main" id="{5F29D3F2-2249-C8B1-FFAD-066111E47050}"/>
            </a:ext>
          </a:extLst>
        </xdr:cNvPr>
        <xdr:cNvSpPr txBox="1"/>
      </xdr:nvSpPr>
      <xdr:spPr>
        <a:xfrm>
          <a:off x="3216088" y="593911"/>
          <a:ext cx="324970" cy="173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fld id="{65CA1440-7EBE-4574-8183-AA9C278CC38D}" type="TxLink">
            <a:rPr lang="en-US" sz="1100" b="0" i="0" u="none" strike="noStrike">
              <a:solidFill>
                <a:srgbClr val="000000"/>
              </a:solidFill>
              <a:latin typeface="Aptos Narrow"/>
            </a:rPr>
            <a:t>4.96</a:t>
          </a:fld>
          <a:endParaRPr lang="en-IN" sz="800"/>
        </a:p>
      </xdr:txBody>
    </xdr:sp>
    <xdr:clientData/>
  </xdr:twoCellAnchor>
  <xdr:twoCellAnchor editAs="absolute">
    <xdr:from>
      <xdr:col>4</xdr:col>
      <xdr:colOff>470647</xdr:colOff>
      <xdr:row>3</xdr:row>
      <xdr:rowOff>190499</xdr:rowOff>
    </xdr:from>
    <xdr:to>
      <xdr:col>6</xdr:col>
      <xdr:colOff>218514</xdr:colOff>
      <xdr:row>4</xdr:row>
      <xdr:rowOff>117663</xdr:rowOff>
    </xdr:to>
    <xdr:sp macro="" textlink="">
      <xdr:nvSpPr>
        <xdr:cNvPr id="31" name="TextBox 30">
          <a:extLst>
            <a:ext uri="{FF2B5EF4-FFF2-40B4-BE49-F238E27FC236}">
              <a16:creationId xmlns:a16="http://schemas.microsoft.com/office/drawing/2014/main" id="{92BE8CE5-94DC-3C89-EB59-FEF0A46D1E05}"/>
            </a:ext>
          </a:extLst>
        </xdr:cNvPr>
        <xdr:cNvSpPr txBox="1"/>
      </xdr:nvSpPr>
      <xdr:spPr>
        <a:xfrm>
          <a:off x="2913529" y="761999"/>
          <a:ext cx="969309" cy="1176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00">
              <a:noFill/>
            </a:rPr>
            <a:t>       </a:t>
          </a:r>
          <a:r>
            <a:rPr lang="en-IN" sz="800">
              <a:solidFill>
                <a:schemeClr val="dk1"/>
              </a:solidFill>
            </a:rPr>
            <a:t>Satisfaction</a:t>
          </a:r>
          <a:r>
            <a:rPr lang="en-IN" sz="800" baseline="0">
              <a:solidFill>
                <a:schemeClr val="dk1"/>
              </a:solidFill>
            </a:rPr>
            <a:t> </a:t>
          </a:r>
          <a:r>
            <a:rPr lang="en-IN" sz="800">
              <a:solidFill>
                <a:schemeClr val="dk1"/>
              </a:solidFill>
            </a:rPr>
            <a:t>Score</a:t>
          </a:r>
        </a:p>
        <a:p>
          <a:pPr algn="l"/>
          <a:endParaRPr lang="en-IN" sz="800">
            <a:noFill/>
          </a:endParaRPr>
        </a:p>
      </xdr:txBody>
    </xdr:sp>
    <xdr:clientData/>
  </xdr:twoCellAnchor>
  <xdr:twoCellAnchor editAs="oneCell">
    <xdr:from>
      <xdr:col>2</xdr:col>
      <xdr:colOff>229720</xdr:colOff>
      <xdr:row>2</xdr:row>
      <xdr:rowOff>173690</xdr:rowOff>
    </xdr:from>
    <xdr:to>
      <xdr:col>2</xdr:col>
      <xdr:colOff>459442</xdr:colOff>
      <xdr:row>4</xdr:row>
      <xdr:rowOff>22412</xdr:rowOff>
    </xdr:to>
    <xdr:pic>
      <xdr:nvPicPr>
        <xdr:cNvPr id="33" name="Graphic 32" descr="Male profile with solid fill">
          <a:extLst>
            <a:ext uri="{FF2B5EF4-FFF2-40B4-BE49-F238E27FC236}">
              <a16:creationId xmlns:a16="http://schemas.microsoft.com/office/drawing/2014/main" id="{5BDC6103-88FE-A12B-CD67-8F024C1E8E2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51161" y="554690"/>
          <a:ext cx="229722" cy="229722"/>
        </a:xfrm>
        <a:prstGeom prst="rect">
          <a:avLst/>
        </a:prstGeom>
      </xdr:spPr>
    </xdr:pic>
    <xdr:clientData/>
  </xdr:twoCellAnchor>
  <xdr:twoCellAnchor editAs="oneCell">
    <xdr:from>
      <xdr:col>4</xdr:col>
      <xdr:colOff>134471</xdr:colOff>
      <xdr:row>2</xdr:row>
      <xdr:rowOff>184897</xdr:rowOff>
    </xdr:from>
    <xdr:to>
      <xdr:col>4</xdr:col>
      <xdr:colOff>336176</xdr:colOff>
      <xdr:row>4</xdr:row>
      <xdr:rowOff>5602</xdr:rowOff>
    </xdr:to>
    <xdr:pic>
      <xdr:nvPicPr>
        <xdr:cNvPr id="35" name="Graphic 34" descr="Hourglass 30% with solid fill">
          <a:extLst>
            <a:ext uri="{FF2B5EF4-FFF2-40B4-BE49-F238E27FC236}">
              <a16:creationId xmlns:a16="http://schemas.microsoft.com/office/drawing/2014/main" id="{96A8953D-6459-BD8E-1916-A3E5CF8AA81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77353" y="565897"/>
          <a:ext cx="201705" cy="201705"/>
        </a:xfrm>
        <a:prstGeom prst="rect">
          <a:avLst/>
        </a:prstGeom>
      </xdr:spPr>
    </xdr:pic>
    <xdr:clientData/>
  </xdr:twoCellAnchor>
  <xdr:twoCellAnchor editAs="oneCell">
    <xdr:from>
      <xdr:col>5</xdr:col>
      <xdr:colOff>582706</xdr:colOff>
      <xdr:row>2</xdr:row>
      <xdr:rowOff>168089</xdr:rowOff>
    </xdr:from>
    <xdr:to>
      <xdr:col>6</xdr:col>
      <xdr:colOff>184897</xdr:colOff>
      <xdr:row>4</xdr:row>
      <xdr:rowOff>1</xdr:rowOff>
    </xdr:to>
    <xdr:pic>
      <xdr:nvPicPr>
        <xdr:cNvPr id="37" name="Graphic 36" descr="Rating with solid fill">
          <a:extLst>
            <a:ext uri="{FF2B5EF4-FFF2-40B4-BE49-F238E27FC236}">
              <a16:creationId xmlns:a16="http://schemas.microsoft.com/office/drawing/2014/main" id="{65B0752B-D669-0DE0-9A03-6AC803DA1FF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636309" y="549089"/>
          <a:ext cx="212912" cy="212912"/>
        </a:xfrm>
        <a:prstGeom prst="rect">
          <a:avLst/>
        </a:prstGeom>
      </xdr:spPr>
    </xdr:pic>
    <xdr:clientData/>
  </xdr:twoCellAnchor>
  <xdr:twoCellAnchor editAs="oneCell">
    <xdr:from>
      <xdr:col>0</xdr:col>
      <xdr:colOff>50426</xdr:colOff>
      <xdr:row>2</xdr:row>
      <xdr:rowOff>140075</xdr:rowOff>
    </xdr:from>
    <xdr:to>
      <xdr:col>1</xdr:col>
      <xdr:colOff>87705</xdr:colOff>
      <xdr:row>13</xdr:row>
      <xdr:rowOff>96575</xdr:rowOff>
    </xdr:to>
    <mc:AlternateContent xmlns:mc="http://schemas.openxmlformats.org/markup-compatibility/2006">
      <mc:Choice xmlns:a14="http://schemas.microsoft.com/office/drawing/2010/main" Requires="a14">
        <xdr:graphicFrame macro="">
          <xdr:nvGraphicFramePr>
            <xdr:cNvPr id="38" name="Date (Month)">
              <a:extLst>
                <a:ext uri="{FF2B5EF4-FFF2-40B4-BE49-F238E27FC236}">
                  <a16:creationId xmlns:a16="http://schemas.microsoft.com/office/drawing/2014/main" id="{6FC7FE61-390D-46C8-8FAB-0BE255D8A78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50426" y="521075"/>
              <a:ext cx="648000" cy="20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123263</xdr:colOff>
      <xdr:row>4</xdr:row>
      <xdr:rowOff>128868</xdr:rowOff>
    </xdr:from>
    <xdr:to>
      <xdr:col>2</xdr:col>
      <xdr:colOff>515470</xdr:colOff>
      <xdr:row>7</xdr:row>
      <xdr:rowOff>11205</xdr:rowOff>
    </xdr:to>
    <xdr:graphicFrame macro="">
      <xdr:nvGraphicFramePr>
        <xdr:cNvPr id="43" name="Chart 42">
          <a:extLst>
            <a:ext uri="{FF2B5EF4-FFF2-40B4-BE49-F238E27FC236}">
              <a16:creationId xmlns:a16="http://schemas.microsoft.com/office/drawing/2014/main" id="{36C7EC69-1108-9721-347D-3B2B0B609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2</xdr:col>
      <xdr:colOff>605118</xdr:colOff>
      <xdr:row>4</xdr:row>
      <xdr:rowOff>16809</xdr:rowOff>
    </xdr:from>
    <xdr:to>
      <xdr:col>4</xdr:col>
      <xdr:colOff>414618</xdr:colOff>
      <xdr:row>7</xdr:row>
      <xdr:rowOff>11206</xdr:rowOff>
    </xdr:to>
    <xdr:graphicFrame macro="">
      <xdr:nvGraphicFramePr>
        <xdr:cNvPr id="45" name="Chart 44">
          <a:hlinkClick xmlns:r="http://schemas.openxmlformats.org/officeDocument/2006/relationships" r:id="rId12"/>
          <a:extLst>
            <a:ext uri="{FF2B5EF4-FFF2-40B4-BE49-F238E27FC236}">
              <a16:creationId xmlns:a16="http://schemas.microsoft.com/office/drawing/2014/main" id="{FAF171E3-4CA4-49E1-9ED1-8FFD44BB1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465045</xdr:colOff>
      <xdr:row>4</xdr:row>
      <xdr:rowOff>134471</xdr:rowOff>
    </xdr:from>
    <xdr:to>
      <xdr:col>6</xdr:col>
      <xdr:colOff>218515</xdr:colOff>
      <xdr:row>7</xdr:row>
      <xdr:rowOff>5603</xdr:rowOff>
    </xdr:to>
    <xdr:graphicFrame macro="">
      <xdr:nvGraphicFramePr>
        <xdr:cNvPr id="48" name="Chart 47">
          <a:extLst>
            <a:ext uri="{FF2B5EF4-FFF2-40B4-BE49-F238E27FC236}">
              <a16:creationId xmlns:a16="http://schemas.microsoft.com/office/drawing/2014/main" id="{21884AE7-4739-4372-983C-22BB9356D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133753</xdr:colOff>
          <xdr:row>7</xdr:row>
          <xdr:rowOff>72838</xdr:rowOff>
        </xdr:from>
        <xdr:to>
          <xdr:col>6</xdr:col>
          <xdr:colOff>235323</xdr:colOff>
          <xdr:row>9</xdr:row>
          <xdr:rowOff>22412</xdr:rowOff>
        </xdr:to>
        <xdr:pic>
          <xdr:nvPicPr>
            <xdr:cNvPr id="50" name="Picture 49">
              <a:extLst>
                <a:ext uri="{FF2B5EF4-FFF2-40B4-BE49-F238E27FC236}">
                  <a16:creationId xmlns:a16="http://schemas.microsoft.com/office/drawing/2014/main" id="{92785388-C793-D527-58D7-28911D663F53}"/>
                </a:ext>
              </a:extLst>
            </xdr:cNvPr>
            <xdr:cNvPicPr>
              <a:picLocks noChangeAspect="1" noChangeArrowheads="1"/>
              <a:extLst>
                <a:ext uri="{84589F7E-364E-4C9E-8A38-B11213B215E9}">
                  <a14:cameraTool cellRange="'Pivot Report'!$A$41:$E$43" spid="_x0000_s2060"/>
                </a:ext>
              </a:extLst>
            </xdr:cNvPicPr>
          </xdr:nvPicPr>
          <xdr:blipFill>
            <a:blip xmlns:r="http://schemas.openxmlformats.org/officeDocument/2006/relationships" r:embed="rId15"/>
            <a:srcRect/>
            <a:stretch>
              <a:fillRect/>
            </a:stretch>
          </xdr:blipFill>
          <xdr:spPr bwMode="auto">
            <a:xfrm>
              <a:off x="744474" y="1406338"/>
              <a:ext cx="3155173" cy="33057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117663</xdr:colOff>
      <xdr:row>9</xdr:row>
      <xdr:rowOff>61632</xdr:rowOff>
    </xdr:from>
    <xdr:to>
      <xdr:col>6</xdr:col>
      <xdr:colOff>212911</xdr:colOff>
      <xdr:row>12</xdr:row>
      <xdr:rowOff>100853</xdr:rowOff>
    </xdr:to>
    <xdr:graphicFrame macro="">
      <xdr:nvGraphicFramePr>
        <xdr:cNvPr id="51" name="Chart 50">
          <a:extLst>
            <a:ext uri="{FF2B5EF4-FFF2-40B4-BE49-F238E27FC236}">
              <a16:creationId xmlns:a16="http://schemas.microsoft.com/office/drawing/2014/main" id="{F0316A91-6EAB-4C40-B45D-FE6FD0C757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xdr:col>
      <xdr:colOff>0</xdr:colOff>
      <xdr:row>12</xdr:row>
      <xdr:rowOff>100853</xdr:rowOff>
    </xdr:from>
    <xdr:to>
      <xdr:col>4</xdr:col>
      <xdr:colOff>498661</xdr:colOff>
      <xdr:row>13</xdr:row>
      <xdr:rowOff>56029</xdr:rowOff>
    </xdr:to>
    <xdr:sp macro="" textlink="">
      <xdr:nvSpPr>
        <xdr:cNvPr id="52" name="TextBox 51">
          <a:extLst>
            <a:ext uri="{FF2B5EF4-FFF2-40B4-BE49-F238E27FC236}">
              <a16:creationId xmlns:a16="http://schemas.microsoft.com/office/drawing/2014/main" id="{596B2CEA-B584-F966-DA4C-555C580FA42E}"/>
            </a:ext>
          </a:extLst>
        </xdr:cNvPr>
        <xdr:cNvSpPr txBox="1"/>
      </xdr:nvSpPr>
      <xdr:spPr>
        <a:xfrm>
          <a:off x="1832162" y="2386853"/>
          <a:ext cx="1109381" cy="145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00"/>
            <a:t>        </a:t>
          </a:r>
          <a:r>
            <a:rPr lang="en-IN" sz="550"/>
            <a:t>No.</a:t>
          </a:r>
          <a:r>
            <a:rPr lang="en-IN" sz="550" baseline="0"/>
            <a:t> of Patient by Age group</a:t>
          </a:r>
          <a:endParaRPr lang="en-IN" sz="550"/>
        </a:p>
      </xdr:txBody>
    </xdr:sp>
    <xdr:clientData/>
  </xdr:twoCellAnchor>
  <xdr:twoCellAnchor>
    <xdr:from>
      <xdr:col>6</xdr:col>
      <xdr:colOff>274544</xdr:colOff>
      <xdr:row>0</xdr:row>
      <xdr:rowOff>50425</xdr:rowOff>
    </xdr:from>
    <xdr:to>
      <xdr:col>8</xdr:col>
      <xdr:colOff>50426</xdr:colOff>
      <xdr:row>6</xdr:row>
      <xdr:rowOff>162485</xdr:rowOff>
    </xdr:to>
    <xdr:graphicFrame macro="">
      <xdr:nvGraphicFramePr>
        <xdr:cNvPr id="54" name="Chart 53">
          <a:extLst>
            <a:ext uri="{FF2B5EF4-FFF2-40B4-BE49-F238E27FC236}">
              <a16:creationId xmlns:a16="http://schemas.microsoft.com/office/drawing/2014/main" id="{6312B7E6-E320-4CA9-9383-6BFE55C375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6</xdr:col>
      <xdr:colOff>364191</xdr:colOff>
      <xdr:row>8</xdr:row>
      <xdr:rowOff>50425</xdr:rowOff>
    </xdr:from>
    <xdr:to>
      <xdr:col>8</xdr:col>
      <xdr:colOff>112059</xdr:colOff>
      <xdr:row>8</xdr:row>
      <xdr:rowOff>168089</xdr:rowOff>
    </xdr:to>
    <xdr:sp macro="" textlink="">
      <xdr:nvSpPr>
        <xdr:cNvPr id="55" name="TextBox 54">
          <a:extLst>
            <a:ext uri="{FF2B5EF4-FFF2-40B4-BE49-F238E27FC236}">
              <a16:creationId xmlns:a16="http://schemas.microsoft.com/office/drawing/2014/main" id="{B4FDE260-583A-052C-FFDA-7C165BA45BD8}"/>
            </a:ext>
          </a:extLst>
        </xdr:cNvPr>
        <xdr:cNvSpPr txBox="1"/>
      </xdr:nvSpPr>
      <xdr:spPr>
        <a:xfrm>
          <a:off x="4028515" y="1574425"/>
          <a:ext cx="969309" cy="1176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l"/>
          <a:r>
            <a:rPr lang="en-IN" sz="800">
              <a:noFill/>
            </a:rPr>
            <a:t>     </a:t>
          </a:r>
        </a:p>
      </xdr:txBody>
    </xdr:sp>
    <xdr:clientData/>
  </xdr:twoCellAnchor>
  <xdr:twoCellAnchor>
    <xdr:from>
      <xdr:col>6</xdr:col>
      <xdr:colOff>364191</xdr:colOff>
      <xdr:row>6</xdr:row>
      <xdr:rowOff>0</xdr:rowOff>
    </xdr:from>
    <xdr:to>
      <xdr:col>7</xdr:col>
      <xdr:colOff>610720</xdr:colOff>
      <xdr:row>6</xdr:row>
      <xdr:rowOff>151279</xdr:rowOff>
    </xdr:to>
    <xdr:sp macro="" textlink="">
      <xdr:nvSpPr>
        <xdr:cNvPr id="57" name="TextBox 56">
          <a:extLst>
            <a:ext uri="{FF2B5EF4-FFF2-40B4-BE49-F238E27FC236}">
              <a16:creationId xmlns:a16="http://schemas.microsoft.com/office/drawing/2014/main" id="{E88437E3-B083-7CA9-4684-37B36560E04D}"/>
            </a:ext>
          </a:extLst>
        </xdr:cNvPr>
        <xdr:cNvSpPr txBox="1"/>
      </xdr:nvSpPr>
      <xdr:spPr>
        <a:xfrm>
          <a:off x="4028515" y="1143000"/>
          <a:ext cx="857249" cy="1512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00" baseline="0"/>
            <a:t>Patient Attend status</a:t>
          </a:r>
        </a:p>
      </xdr:txBody>
    </xdr:sp>
    <xdr:clientData/>
  </xdr:twoCellAnchor>
  <xdr:twoCellAnchor>
    <xdr:from>
      <xdr:col>8</xdr:col>
      <xdr:colOff>100853</xdr:colOff>
      <xdr:row>0</xdr:row>
      <xdr:rowOff>39218</xdr:rowOff>
    </xdr:from>
    <xdr:to>
      <xdr:col>9</xdr:col>
      <xdr:colOff>521074</xdr:colOff>
      <xdr:row>6</xdr:row>
      <xdr:rowOff>145675</xdr:rowOff>
    </xdr:to>
    <xdr:graphicFrame macro="">
      <xdr:nvGraphicFramePr>
        <xdr:cNvPr id="58" name="Chart 57">
          <a:extLst>
            <a:ext uri="{FF2B5EF4-FFF2-40B4-BE49-F238E27FC236}">
              <a16:creationId xmlns:a16="http://schemas.microsoft.com/office/drawing/2014/main" id="{3D4701D5-BF04-416F-B4B2-C1185CF35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168089</xdr:colOff>
      <xdr:row>5</xdr:row>
      <xdr:rowOff>134472</xdr:rowOff>
    </xdr:from>
    <xdr:to>
      <xdr:col>9</xdr:col>
      <xdr:colOff>504265</xdr:colOff>
      <xdr:row>6</xdr:row>
      <xdr:rowOff>134472</xdr:rowOff>
    </xdr:to>
    <xdr:sp macro="" textlink="">
      <xdr:nvSpPr>
        <xdr:cNvPr id="60" name="TextBox 59">
          <a:extLst>
            <a:ext uri="{FF2B5EF4-FFF2-40B4-BE49-F238E27FC236}">
              <a16:creationId xmlns:a16="http://schemas.microsoft.com/office/drawing/2014/main" id="{A7A40B43-40FD-6CF5-22FC-9EE072C42A24}"/>
            </a:ext>
          </a:extLst>
        </xdr:cNvPr>
        <xdr:cNvSpPr txBox="1"/>
      </xdr:nvSpPr>
      <xdr:spPr>
        <a:xfrm>
          <a:off x="5053854" y="1086972"/>
          <a:ext cx="946896" cy="190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20" baseline="0"/>
            <a:t>Patient Gender Analysis</a:t>
          </a:r>
        </a:p>
      </xdr:txBody>
    </xdr:sp>
    <xdr:clientData/>
  </xdr:twoCellAnchor>
  <xdr:twoCellAnchor>
    <xdr:from>
      <xdr:col>6</xdr:col>
      <xdr:colOff>263340</xdr:colOff>
      <xdr:row>7</xdr:row>
      <xdr:rowOff>22412</xdr:rowOff>
    </xdr:from>
    <xdr:to>
      <xdr:col>9</xdr:col>
      <xdr:colOff>504265</xdr:colOff>
      <xdr:row>13</xdr:row>
      <xdr:rowOff>78441</xdr:rowOff>
    </xdr:to>
    <xdr:graphicFrame macro="">
      <xdr:nvGraphicFramePr>
        <xdr:cNvPr id="61" name="Chart 60">
          <a:extLst>
            <a:ext uri="{FF2B5EF4-FFF2-40B4-BE49-F238E27FC236}">
              <a16:creationId xmlns:a16="http://schemas.microsoft.com/office/drawing/2014/main" id="{075C67B8-3D2D-42D9-B891-441AD4FA0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56030</xdr:colOff>
      <xdr:row>11</xdr:row>
      <xdr:rowOff>33617</xdr:rowOff>
    </xdr:from>
    <xdr:to>
      <xdr:col>9</xdr:col>
      <xdr:colOff>470648</xdr:colOff>
      <xdr:row>12</xdr:row>
      <xdr:rowOff>100852</xdr:rowOff>
    </xdr:to>
    <xdr:sp macro="" textlink="">
      <xdr:nvSpPr>
        <xdr:cNvPr id="62" name="TextBox 61">
          <a:extLst>
            <a:ext uri="{FF2B5EF4-FFF2-40B4-BE49-F238E27FC236}">
              <a16:creationId xmlns:a16="http://schemas.microsoft.com/office/drawing/2014/main" id="{9F17D2AF-1A30-761B-B7DB-3849E6C9B920}"/>
            </a:ext>
          </a:extLst>
        </xdr:cNvPr>
        <xdr:cNvSpPr txBox="1"/>
      </xdr:nvSpPr>
      <xdr:spPr>
        <a:xfrm>
          <a:off x="4941795" y="2129117"/>
          <a:ext cx="1025338" cy="2577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650" baseline="0"/>
            <a:t>No. of Patient by Department Referal</a:t>
          </a:r>
        </a:p>
      </xdr:txBody>
    </xdr:sp>
    <xdr:clientData/>
  </xdr:twoCellAnchor>
  <xdr:twoCellAnchor editAs="absolute">
    <xdr:from>
      <xdr:col>4</xdr:col>
      <xdr:colOff>414618</xdr:colOff>
      <xdr:row>0</xdr:row>
      <xdr:rowOff>61632</xdr:rowOff>
    </xdr:from>
    <xdr:to>
      <xdr:col>6</xdr:col>
      <xdr:colOff>201705</xdr:colOff>
      <xdr:row>2</xdr:row>
      <xdr:rowOff>84044</xdr:rowOff>
    </xdr:to>
    <mc:AlternateContent xmlns:mc="http://schemas.openxmlformats.org/markup-compatibility/2006">
      <mc:Choice xmlns:a14="http://schemas.microsoft.com/office/drawing/2010/main" Requires="a14">
        <xdr:graphicFrame macro="">
          <xdr:nvGraphicFramePr>
            <xdr:cNvPr id="63" name="Date (Year)">
              <a:extLst>
                <a:ext uri="{FF2B5EF4-FFF2-40B4-BE49-F238E27FC236}">
                  <a16:creationId xmlns:a16="http://schemas.microsoft.com/office/drawing/2014/main" id="{D83185D2-EACB-4EC7-A9E0-54AF734F2287}"/>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857500" y="61632"/>
              <a:ext cx="1008529" cy="403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447674</xdr:colOff>
      <xdr:row>0</xdr:row>
      <xdr:rowOff>171449</xdr:rowOff>
    </xdr:from>
    <xdr:to>
      <xdr:col>13</xdr:col>
      <xdr:colOff>571499</xdr:colOff>
      <xdr:row>18</xdr:row>
      <xdr:rowOff>180975</xdr:rowOff>
    </xdr:to>
    <xdr:graphicFrame macro="">
      <xdr:nvGraphicFramePr>
        <xdr:cNvPr id="2" name="Chart 1">
          <a:extLst>
            <a:ext uri="{FF2B5EF4-FFF2-40B4-BE49-F238E27FC236}">
              <a16:creationId xmlns:a16="http://schemas.microsoft.com/office/drawing/2014/main" id="{7B4CBCF3-1C45-4992-8119-C9E676752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457201</xdr:colOff>
      <xdr:row>0</xdr:row>
      <xdr:rowOff>142876</xdr:rowOff>
    </xdr:from>
    <xdr:to>
      <xdr:col>2</xdr:col>
      <xdr:colOff>247651</xdr:colOff>
      <xdr:row>2</xdr:row>
      <xdr:rowOff>161926</xdr:rowOff>
    </xdr:to>
    <xdr:pic>
      <xdr:nvPicPr>
        <xdr:cNvPr id="5" name="Graphic 4" descr="Home with solid fill">
          <a:hlinkClick xmlns:r="http://schemas.openxmlformats.org/officeDocument/2006/relationships" r:id="rId2"/>
          <a:extLst>
            <a:ext uri="{FF2B5EF4-FFF2-40B4-BE49-F238E27FC236}">
              <a16:creationId xmlns:a16="http://schemas.microsoft.com/office/drawing/2014/main" id="{28A8B014-6354-1DDF-A798-D497BD689F6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66801" y="142876"/>
          <a:ext cx="400050" cy="4000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0</xdr:row>
      <xdr:rowOff>152400</xdr:rowOff>
    </xdr:from>
    <xdr:to>
      <xdr:col>16</xdr:col>
      <xdr:colOff>285750</xdr:colOff>
      <xdr:row>21</xdr:row>
      <xdr:rowOff>133350</xdr:rowOff>
    </xdr:to>
    <xdr:graphicFrame macro="">
      <xdr:nvGraphicFramePr>
        <xdr:cNvPr id="2" name="Chart 1">
          <a:extLst>
            <a:ext uri="{FF2B5EF4-FFF2-40B4-BE49-F238E27FC236}">
              <a16:creationId xmlns:a16="http://schemas.microsoft.com/office/drawing/2014/main" id="{C3EFD2A9-B06D-455D-9D6B-422007E092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0.00518</cdr:x>
      <cdr:y>0.01276</cdr:y>
    </cdr:from>
    <cdr:to>
      <cdr:x>0.04595</cdr:x>
      <cdr:y>0.11324</cdr:y>
    </cdr:to>
    <cdr:pic>
      <cdr:nvPicPr>
        <cdr:cNvPr id="4"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28A8B014-6354-1DDF-A798-D497BD689F62}"/>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00050" cy="40005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66674</xdr:colOff>
      <xdr:row>0</xdr:row>
      <xdr:rowOff>85724</xdr:rowOff>
    </xdr:from>
    <xdr:to>
      <xdr:col>16</xdr:col>
      <xdr:colOff>57149</xdr:colOff>
      <xdr:row>21</xdr:row>
      <xdr:rowOff>171449</xdr:rowOff>
    </xdr:to>
    <xdr:graphicFrame macro="">
      <xdr:nvGraphicFramePr>
        <xdr:cNvPr id="2" name="Chart 1">
          <a:extLst>
            <a:ext uri="{FF2B5EF4-FFF2-40B4-BE49-F238E27FC236}">
              <a16:creationId xmlns:a16="http://schemas.microsoft.com/office/drawing/2014/main" id="{2C10F000-1C6F-4F06-AA39-ECAD6E66F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0.00521</cdr:x>
      <cdr:y>0.01243</cdr:y>
    </cdr:from>
    <cdr:to>
      <cdr:x>0.04627</cdr:x>
      <cdr:y>0.11033</cdr:y>
    </cdr:to>
    <cdr:pic>
      <cdr:nvPicPr>
        <cdr:cNvPr id="3" name="Graphic 4"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8D3ED99-1A82-20F5-B8A8-9F84E0071D54}"/>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50800" y="50800"/>
          <a:ext cx="400050" cy="40005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4379375" createdVersion="5" refreshedVersion="8" minRefreshableVersion="3" recordCount="0" supportSubquery="1" supportAdvancedDrill="1" xr:uid="{2AD992DD-6DBB-453A-AB04-7AAEF156DDCF}">
  <cacheSource type="external" connectionId="3"/>
  <cacheFields count="3">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0"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3773149" createdVersion="5" refreshedVersion="8" minRefreshableVersion="3" recordCount="0" supportSubquery="1" supportAdvancedDrill="1" xr:uid="{F8F1DC25-40F7-4C39-8160-9F296C5C8ACD}">
  <cacheSource type="external" connectionId="3"/>
  <cacheFields count="4">
    <cacheField name="[Calendar_Table].[Date (Month)].[Date (Month)]" caption="Date (Month)" numFmtId="0" hierarchy="1" level="1">
      <sharedItems count="1">
        <s v="Jan"/>
      </sharedItems>
    </cacheField>
    <cacheField name="[Calenda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e (Quarter)].[Date (Quarter)]" caption="Date (Quarter)" numFmtId="0" hierarchy="4" level="1">
      <sharedItems count="1">
        <s v="Qtr1"/>
      </sharedItems>
    </cacheField>
    <cacheField name="[Calendar_Table].[Date (Year)].[Date (Year)]" caption="Date (Year)" numFmtId="0" hierarchy="3" level="1">
      <sharedItems count="1">
        <s v="2024"/>
      </sharedItems>
    </cacheField>
  </cacheFields>
  <cacheHierarchies count="35">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4004633" createdVersion="5" refreshedVersion="8" minRefreshableVersion="3" recordCount="0" supportSubquery="1" supportAdvancedDrill="1" xr:uid="{BB118137-4FA9-4E72-8EA5-F0AA1EAF7D4B}">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4467595" createdVersion="5" refreshedVersion="8" minRefreshableVersion="3" recordCount="0" supportSubquery="1" supportAdvancedDrill="1" xr:uid="{30D06584-D4BB-4B94-B44E-D88E3B0E4B57}">
  <cacheSource type="external" connectionId="3"/>
  <cacheFields count="4">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4930557" createdVersion="5" refreshedVersion="8" minRefreshableVersion="3" recordCount="0" supportSubquery="1" supportAdvancedDrill="1" xr:uid="{4BE171AD-F0E2-49A3-99AE-D8098D1A87FA}">
  <cacheSource type="external" connectionId="3"/>
  <cacheFields count="4">
    <cacheField name="[Calendar_Table].[Date (Month)].[Date (Month)]" caption="Date (Month)" numFmtId="0" hierarchy="1" level="1">
      <sharedItems containsSemiMixedTypes="0" containsNonDate="0" containsString="0"/>
    </cacheField>
    <cacheField name="[Measures].[Count of Department Referral]" caption="Count of Department Referral" numFmtId="0" hierarchy="33" level="32767"/>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5162034" createdVersion="5" refreshedVersion="8" minRefreshableVersion="3" recordCount="0" supportSubquery="1" supportAdvancedDrill="1" xr:uid="{6E3FA5E4-FE9D-4054-B094-A93F83FAB8BE}">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5625004" createdVersion="5" refreshedVersion="8" minRefreshableVersion="3" recordCount="0" supportSubquery="1" supportAdvancedDrill="1" xr:uid="{C0504732-208E-480F-8575-804DF2A746A1}">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6203704" createdVersion="5" refreshedVersion="8" minRefreshableVersion="3" recordCount="0" supportSubquery="1" supportAdvancedDrill="1" xr:uid="{CA853DAE-AF5A-435F-8EC5-8D2B6519BE41}">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6898151" createdVersion="5" refreshedVersion="8" minRefreshableVersion="3" recordCount="0" supportSubquery="1" supportAdvancedDrill="1" xr:uid="{9B771B92-22E0-4AAC-A7F3-CA71C7882CE9}">
  <cacheSource type="external" connectionId="3"/>
  <cacheFields count="4">
    <cacheField name="[Calendar_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7361113" createdVersion="5" refreshedVersion="8" minRefreshableVersion="3" recordCount="0" supportSubquery="1" supportAdvancedDrill="1" xr:uid="{2B28A7D7-07E0-45BC-AAD3-7D605875644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7939813" createdVersion="5" refreshedVersion="8" minRefreshableVersion="3" recordCount="0" supportSubquery="1" supportAdvancedDrill="1" xr:uid="{FBBF9937-E21D-45CB-A8BA-7110E108186E}">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51418518521" createdVersion="5" refreshedVersion="8" minRefreshableVersion="3" recordCount="0" supportSubquery="1" supportAdvancedDrill="1" xr:uid="{FCB22DEB-0545-416E-B7E0-F1884DEB686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ABNAM KUMARI" refreshedDate="46061.243773263886" createdVersion="3" refreshedVersion="8" minRefreshableVersion="3" recordCount="0" supportSubquery="1" supportAdvancedDrill="1" xr:uid="{0D5983E7-B41F-406F-92C4-AC5F6BF94782}">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e]" caption="Count of Date"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971206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5F4688-B455-48B7-9300-E5E8BEDFF151}" name="PivotTable12" cacheId="706" applyNumberFormats="0" applyBorderFormats="0" applyFontFormats="0" applyPatternFormats="0" applyAlignmentFormats="0" applyWidthHeightFormats="1" dataCaption="Values" tag="94f6d6e7-28bb-4ae6-b26d-8e6f49ba4fb0" updatedVersion="8" minRefreshableVersion="3" subtotalHiddenItems="1" itemPrintTitles="1" createdVersion="5" indent="0" outline="1" outlineData="1" multipleFieldFilters="0" chartFormat="19">
  <location ref="D77:D79"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61">
      <pivotArea outline="0" collapsedLevelsAreSubtotals="1" fieldPosition="0"/>
    </format>
  </formats>
  <pivotHierarchies count="35">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7A2C3-EC15-4629-8320-858FC99D4AF1}" name="PivotTable11" cacheId="715" applyNumberFormats="0" applyBorderFormats="0" applyFontFormats="0" applyPatternFormats="0" applyAlignmentFormats="0" applyWidthHeightFormats="1" dataCaption="Values" tag="a046675b-bec3-4965-af6b-b5a844582073" updatedVersion="8" minRefreshableVersion="3" subtotalHiddenItems="1" itemPrintTitles="1" createdVersion="5" indent="0" outline="1" outlineData="1" multipleFieldFilters="0" chartFormat="23">
  <location ref="A71:B80"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9">
    <i>
      <x v="1"/>
    </i>
    <i>
      <x v="7"/>
    </i>
    <i>
      <x v="3"/>
    </i>
    <i>
      <x v="6"/>
    </i>
    <i>
      <x/>
    </i>
    <i>
      <x v="5"/>
    </i>
    <i>
      <x v="2"/>
    </i>
    <i>
      <x v="4"/>
    </i>
    <i t="grand">
      <x/>
    </i>
  </rowItems>
  <colItems count="1">
    <i/>
  </colItems>
  <dataFields count="1">
    <dataField name="Count of Department Referral" fld="1" subtotal="count" baseField="0" baseItem="0"/>
  </dataFields>
  <formats count="1">
    <format dxfId="62">
      <pivotArea outline="0" collapsedLevelsAreSubtotals="1" fieldPosition="0"/>
    </format>
  </formats>
  <chartFormats count="1">
    <chartFormat chart="2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8DE26-B699-445B-A321-6CF7F2630553}" name="PivotTable10" cacheId="712" applyNumberFormats="0" applyBorderFormats="0" applyFontFormats="0" applyPatternFormats="0" applyAlignmentFormats="0" applyWidthHeightFormats="1" dataCaption="Values" tag="b0ec1afa-aa5b-44ae-ab14-c1afd3c98a83" updatedVersion="8" minRefreshableVersion="3" subtotalHiddenItems="1" itemPrintTitles="1" createdVersion="5" indent="0" outline="1" outlineData="1" multipleFieldFilters="0" chartFormat="19">
  <location ref="A65:B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63">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0"/>
          </reference>
        </references>
      </pivotArea>
    </chartFormat>
    <chartFormat chart="16"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E3455A-356D-4431-815F-5B173C7494FF}" name="PivotTable9" cacheId="736" applyNumberFormats="0" applyBorderFormats="0" applyFontFormats="0" applyPatternFormats="0" applyAlignmentFormats="0" applyWidthHeightFormats="1" dataCaption="Values" tag="07a58603-46d0-4273-b9c0-cbb4c0ade764" updatedVersion="8" minRefreshableVersion="3" subtotalHiddenItems="1" itemPrintTitles="1" createdVersion="5" indent="0" outline="1" outlineData="1" multipleFieldFilters="0" chartFormat="13">
  <location ref="A59:B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4">
      <pivotArea outline="0" collapsedLevelsAreSubtotals="1" fieldPosition="0"/>
    </format>
  </formats>
  <chartFormats count="3">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1" count="1" selected="0">
            <x v="0"/>
          </reference>
        </references>
      </pivotArea>
    </chartFormat>
    <chartFormat chart="11" format="12">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D9410EF-32DB-4D69-A9E3-8A39A0FAC8D7}" name="PivotTable8" cacheId="733" applyNumberFormats="0" applyBorderFormats="0" applyFontFormats="0" applyPatternFormats="0" applyAlignmentFormats="0" applyWidthHeightFormats="1" dataCaption="Values" tag="e2fe0478-2f42-4aa7-8c6d-3d1655c4a453" updatedVersion="8" minRefreshableVersion="3" subtotalHiddenItems="1" itemPrintTitles="1" createdVersion="5" indent="0" outline="1" outlineData="1" multipleFieldFilters="0" chartFormat="4">
  <location ref="A46:B5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6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A075CE-7028-4C96-AE67-979F04FEC34F}" name="PivotTable7" cacheId="730" applyNumberFormats="0" applyBorderFormats="0" applyFontFormats="0" applyPatternFormats="0" applyAlignmentFormats="0" applyWidthHeightFormats="1" dataCaption="Values" tag="01147756-2765-432c-a86e-176bfca4cffe" updatedVersion="8" minRefreshableVersion="3" subtotalHiddenItems="1" itemPrintTitles="1" createdVersion="5" indent="0" outline="1" outlineData="1" multipleFieldFilters="0" chartFormat="1">
  <location ref="A35:C3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67">
      <pivotArea outline="0" collapsedLevelsAreSubtotals="1" fieldPosition="0"/>
    </format>
    <format dxfId="66">
      <pivotArea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E46451C-E31B-43F0-BF4C-54FF777EFCA0}" name="PivotTable6" cacheId="500" applyNumberFormats="0" applyBorderFormats="0" applyFontFormats="0" applyPatternFormats="0" applyAlignmentFormats="0" applyWidthHeightFormats="1" dataCaption="Values" tag="5355e391-9b9f-4b87-8f9e-ee2f639f5218" updatedVersion="8" minRefreshableVersion="3" subtotalHiddenItems="1" itemPrintTitles="1" createdVersion="5" indent="0" outline="1" outlineData="1" multipleFieldFilters="0" chartFormat="42">
  <location ref="O2:P34" firstHeaderRow="1" firstDataRow="1"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68">
      <pivotArea outline="0" collapsedLevelsAreSubtotals="1" fieldPosition="0"/>
    </format>
  </formats>
  <chartFormats count="2">
    <chartFormat chart="34" format="2"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854E3D-59EE-425B-8BB0-80D93E8B56FD}" name="PivotTable5" cacheId="727" applyNumberFormats="0" applyBorderFormats="0" applyFontFormats="0" applyPatternFormats="0" applyAlignmentFormats="0" applyWidthHeightFormats="1" dataCaption="Values" tag="f78ac60d-6377-45f6-8140-e344d2206cff" updatedVersion="8" minRefreshableVersion="3" subtotalHiddenItems="1" itemPrintTitles="1" createdVersion="5" indent="0" outline="1" outlineData="1" multipleFieldFilters="0" chartFormat="30">
  <location ref="I5:J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69">
      <pivotArea outline="0" collapsedLevelsAreSubtotals="1" fieldPosition="0"/>
    </format>
  </formats>
  <chartFormats count="2">
    <chartFormat chart="15" format="4"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11D548-71E3-4A5E-9EC4-6E0173F5DCA9}" name="PivotTable4" cacheId="724" applyNumberFormats="0" applyBorderFormats="0" applyFontFormats="0" applyPatternFormats="0" applyAlignmentFormats="0" applyWidthHeightFormats="1" dataCaption="Values" tag="8d377d55-f676-46a7-8a8a-4bf20b894f1a" updatedVersion="8" minRefreshableVersion="3" subtotalHiddenItems="1" itemPrintTitles="1" createdVersion="5" indent="0" outline="1" outlineData="1" multipleFieldFilters="0" chartFormat="11">
  <location ref="E2:F34"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1"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E869EE-ECC6-4FD1-93BC-48FF84CD004F}" name="PivotTable3" cacheId="721" applyNumberFormats="0" applyBorderFormats="0" applyFontFormats="0" applyPatternFormats="0" applyAlignmentFormats="0" applyWidthHeightFormats="1" dataCaption="Values" tag="070b19e8-8d93-4988-89de-13ae071e2390" updatedVersion="8"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2">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285DB2-7E72-4231-990D-8EC75C755182}" name="PivotTable2" cacheId="718" applyNumberFormats="0" applyBorderFormats="0" applyFontFormats="0" applyPatternFormats="0" applyAlignmentFormats="0" applyWidthHeightFormats="1" dataCaption="Values" tag="54ff29e3-a0e6-4b23-a053-f05a3d01a9b4"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3">
      <pivotArea outline="0" collapsedLevelsAreSubtotals="1" fieldPosition="0"/>
    </format>
  </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556439-7A72-468C-B5EA-76368AAC3CDD}" name="PivotTable1" cacheId="709" applyNumberFormats="0" applyBorderFormats="0" applyFontFormats="0" applyPatternFormats="0" applyAlignmentFormats="0" applyWidthHeightFormats="1" dataCaption="Values" tag="306b0925-e730-4772-8998-f075ecdee362"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1D57522D-DA15-4AFC-9DD6-FA2F590A22F5}"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39712068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F086F4AA-30D1-4150-B483-C337ED31E92A}"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data>
    <olap pivotCacheId="39712068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5E0E725-7CFD-429B-8F27-40DDFEA044FB}" cache="Slicer_Date__Month" caption="Date (Month)" showCaption="0" level="1" style="my style" rowHeight="108000"/>
  <slicer name="Date (Year)" xr10:uid="{4ECF8194-6E08-40FE-A51C-32717875EBFE}" cache="Slicer_Date__Year" caption="Date (Year)" columnCount="2" showCaption="0" level="1" style="my style" rowHeight="18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60C72-3EA2-41EE-A848-AC1A3073584A}">
  <dimension ref="A1:Q80"/>
  <sheetViews>
    <sheetView topLeftCell="A59" workbookViewId="0">
      <selection activeCell="D77" sqref="D77"/>
    </sheetView>
  </sheetViews>
  <sheetFormatPr defaultRowHeight="15" x14ac:dyDescent="0.25"/>
  <cols>
    <col min="1" max="1" width="16" customWidth="1"/>
    <col min="2" max="2" width="9.7109375" customWidth="1"/>
    <col min="4" max="4" width="14.5703125" customWidth="1"/>
    <col min="5" max="5" width="27.5703125" customWidth="1"/>
    <col min="9" max="9" width="15" customWidth="1"/>
    <col min="10" max="10" width="9.42578125" customWidth="1"/>
    <col min="15" max="15" width="13.7109375" customWidth="1"/>
  </cols>
  <sheetData>
    <row r="1" spans="1:17" x14ac:dyDescent="0.25">
      <c r="E1" t="s">
        <v>38</v>
      </c>
      <c r="O1" t="s">
        <v>44</v>
      </c>
      <c r="P1" s="6"/>
      <c r="Q1" s="1"/>
    </row>
    <row r="2" spans="1:17" x14ac:dyDescent="0.25">
      <c r="E2" s="2" t="s">
        <v>4</v>
      </c>
      <c r="F2" t="s">
        <v>0</v>
      </c>
      <c r="O2" s="2" t="s">
        <v>4</v>
      </c>
      <c r="P2" t="s">
        <v>3</v>
      </c>
    </row>
    <row r="3" spans="1:17" x14ac:dyDescent="0.25">
      <c r="A3" t="s">
        <v>1</v>
      </c>
      <c r="E3" s="5" t="s">
        <v>7</v>
      </c>
      <c r="F3" s="1">
        <v>19</v>
      </c>
      <c r="O3" s="5" t="s">
        <v>7</v>
      </c>
      <c r="P3" s="3">
        <v>6.666666666666667</v>
      </c>
    </row>
    <row r="4" spans="1:17" x14ac:dyDescent="0.25">
      <c r="A4" t="s">
        <v>0</v>
      </c>
      <c r="E4" s="5" t="s">
        <v>8</v>
      </c>
      <c r="F4" s="1">
        <v>14</v>
      </c>
      <c r="I4" t="s">
        <v>43</v>
      </c>
      <c r="J4" s="6"/>
      <c r="K4" s="1"/>
      <c r="O4" s="5" t="s">
        <v>8</v>
      </c>
      <c r="P4" s="3">
        <v>3.5</v>
      </c>
    </row>
    <row r="5" spans="1:17" x14ac:dyDescent="0.25">
      <c r="A5" s="1">
        <v>513</v>
      </c>
      <c r="E5" s="5" t="s">
        <v>9</v>
      </c>
      <c r="F5" s="1">
        <v>13</v>
      </c>
      <c r="I5" s="2" t="s">
        <v>4</v>
      </c>
      <c r="J5" t="s">
        <v>2</v>
      </c>
      <c r="M5" s="5"/>
      <c r="N5" s="1"/>
      <c r="O5" s="5" t="s">
        <v>9</v>
      </c>
      <c r="P5" s="3">
        <v>4.5</v>
      </c>
    </row>
    <row r="6" spans="1:17" x14ac:dyDescent="0.25">
      <c r="E6" s="5" t="s">
        <v>10</v>
      </c>
      <c r="F6" s="1">
        <v>22</v>
      </c>
      <c r="I6" s="5" t="s">
        <v>7</v>
      </c>
      <c r="J6" s="3">
        <v>37.789473684210527</v>
      </c>
      <c r="M6" s="5"/>
      <c r="N6" s="1"/>
      <c r="O6" s="5" t="s">
        <v>10</v>
      </c>
      <c r="P6" s="3">
        <v>4.8</v>
      </c>
    </row>
    <row r="7" spans="1:17" x14ac:dyDescent="0.25">
      <c r="E7" s="5" t="s">
        <v>11</v>
      </c>
      <c r="F7" s="1">
        <v>19</v>
      </c>
      <c r="I7" s="5" t="s">
        <v>8</v>
      </c>
      <c r="J7" s="3">
        <v>38.214285714285715</v>
      </c>
      <c r="M7" s="5"/>
      <c r="N7" s="1"/>
      <c r="O7" s="5" t="s">
        <v>11</v>
      </c>
      <c r="P7" s="3">
        <v>7.75</v>
      </c>
    </row>
    <row r="8" spans="1:17" x14ac:dyDescent="0.25">
      <c r="E8" s="5" t="s">
        <v>12</v>
      </c>
      <c r="F8" s="1">
        <v>15</v>
      </c>
      <c r="I8" s="5" t="s">
        <v>9</v>
      </c>
      <c r="J8" s="3">
        <v>40.92307692307692</v>
      </c>
      <c r="M8" s="5"/>
      <c r="N8" s="1"/>
      <c r="O8" s="5" t="s">
        <v>12</v>
      </c>
      <c r="P8" s="3">
        <v>6.2</v>
      </c>
    </row>
    <row r="9" spans="1:17" x14ac:dyDescent="0.25">
      <c r="A9" t="s">
        <v>2</v>
      </c>
      <c r="E9" s="5" t="s">
        <v>13</v>
      </c>
      <c r="F9" s="1">
        <v>12</v>
      </c>
      <c r="I9" s="5" t="s">
        <v>10</v>
      </c>
      <c r="J9" s="3">
        <v>34.5</v>
      </c>
      <c r="M9" s="5"/>
      <c r="N9" s="1"/>
      <c r="O9" s="5" t="s">
        <v>13</v>
      </c>
      <c r="P9" s="3">
        <v>3.75</v>
      </c>
    </row>
    <row r="10" spans="1:17" x14ac:dyDescent="0.25">
      <c r="A10" s="3">
        <v>36.323586744639378</v>
      </c>
      <c r="E10" s="5" t="s">
        <v>14</v>
      </c>
      <c r="F10" s="1">
        <v>21</v>
      </c>
      <c r="I10" s="5" t="s">
        <v>11</v>
      </c>
      <c r="J10" s="3">
        <v>30.684210526315791</v>
      </c>
      <c r="M10" s="5"/>
      <c r="N10" s="1"/>
      <c r="O10" s="5" t="s">
        <v>14</v>
      </c>
      <c r="P10" s="3">
        <v>6.5</v>
      </c>
    </row>
    <row r="11" spans="1:17" x14ac:dyDescent="0.25">
      <c r="E11" s="5" t="s">
        <v>15</v>
      </c>
      <c r="F11" s="1">
        <v>12</v>
      </c>
      <c r="I11" s="5" t="s">
        <v>12</v>
      </c>
      <c r="J11" s="3">
        <v>37.666666666666664</v>
      </c>
      <c r="M11" s="5"/>
      <c r="N11" s="1"/>
      <c r="O11" s="5" t="s">
        <v>15</v>
      </c>
      <c r="P11" s="3">
        <v>3</v>
      </c>
    </row>
    <row r="12" spans="1:17" x14ac:dyDescent="0.25">
      <c r="E12" s="5" t="s">
        <v>16</v>
      </c>
      <c r="F12" s="1">
        <v>13</v>
      </c>
      <c r="I12" s="5" t="s">
        <v>13</v>
      </c>
      <c r="J12" s="3">
        <v>36.083333333333336</v>
      </c>
      <c r="M12" s="5"/>
      <c r="N12" s="1"/>
      <c r="O12" s="5" t="s">
        <v>16</v>
      </c>
      <c r="P12" s="3">
        <v>4.5</v>
      </c>
    </row>
    <row r="13" spans="1:17" x14ac:dyDescent="0.25">
      <c r="A13" t="s">
        <v>3</v>
      </c>
      <c r="E13" s="5" t="s">
        <v>17</v>
      </c>
      <c r="F13" s="1">
        <v>13</v>
      </c>
      <c r="I13" s="5" t="s">
        <v>14</v>
      </c>
      <c r="J13" s="3">
        <v>43.523809523809526</v>
      </c>
      <c r="O13" s="5" t="s">
        <v>17</v>
      </c>
      <c r="P13" s="3">
        <v>6</v>
      </c>
    </row>
    <row r="14" spans="1:17" x14ac:dyDescent="0.25">
      <c r="A14" s="3">
        <v>4.9591836734693882</v>
      </c>
      <c r="E14" s="5" t="s">
        <v>18</v>
      </c>
      <c r="F14" s="1">
        <v>16</v>
      </c>
      <c r="I14" s="5" t="s">
        <v>15</v>
      </c>
      <c r="J14" s="3">
        <v>29.5</v>
      </c>
      <c r="O14" s="5" t="s">
        <v>18</v>
      </c>
      <c r="P14" s="3">
        <v>5.2</v>
      </c>
    </row>
    <row r="15" spans="1:17" x14ac:dyDescent="0.25">
      <c r="E15" s="5" t="s">
        <v>19</v>
      </c>
      <c r="F15" s="1">
        <v>20</v>
      </c>
      <c r="I15" s="5" t="s">
        <v>16</v>
      </c>
      <c r="J15" s="3">
        <v>38.07692307692308</v>
      </c>
      <c r="O15" s="5" t="s">
        <v>19</v>
      </c>
      <c r="P15" s="3">
        <v>4.4000000000000004</v>
      </c>
    </row>
    <row r="16" spans="1:17" x14ac:dyDescent="0.25">
      <c r="E16" s="5" t="s">
        <v>20</v>
      </c>
      <c r="F16" s="1">
        <v>25</v>
      </c>
      <c r="I16" s="5" t="s">
        <v>17</v>
      </c>
      <c r="J16" s="3">
        <v>35.846153846153847</v>
      </c>
      <c r="O16" s="5" t="s">
        <v>20</v>
      </c>
      <c r="P16" s="3">
        <v>3.4545454545454546</v>
      </c>
    </row>
    <row r="17" spans="5:16" x14ac:dyDescent="0.25">
      <c r="E17" s="5" t="s">
        <v>21</v>
      </c>
      <c r="F17" s="1">
        <v>20</v>
      </c>
      <c r="I17" s="5" t="s">
        <v>18</v>
      </c>
      <c r="J17" s="3">
        <v>32.625</v>
      </c>
      <c r="O17" s="5" t="s">
        <v>21</v>
      </c>
      <c r="P17" s="3">
        <v>4.4000000000000004</v>
      </c>
    </row>
    <row r="18" spans="5:16" x14ac:dyDescent="0.25">
      <c r="E18" s="5" t="s">
        <v>22</v>
      </c>
      <c r="F18" s="1">
        <v>14</v>
      </c>
      <c r="I18" s="5" t="s">
        <v>19</v>
      </c>
      <c r="J18" s="3">
        <v>39.200000000000003</v>
      </c>
      <c r="O18" s="5" t="s">
        <v>22</v>
      </c>
      <c r="P18" s="3">
        <v>5.833333333333333</v>
      </c>
    </row>
    <row r="19" spans="5:16" x14ac:dyDescent="0.25">
      <c r="E19" s="5" t="s">
        <v>23</v>
      </c>
      <c r="F19" s="1">
        <v>17</v>
      </c>
      <c r="I19" s="5" t="s">
        <v>20</v>
      </c>
      <c r="J19" s="3">
        <v>35.28</v>
      </c>
      <c r="O19" s="5" t="s">
        <v>23</v>
      </c>
      <c r="P19" s="3">
        <v>4.4444444444444446</v>
      </c>
    </row>
    <row r="20" spans="5:16" x14ac:dyDescent="0.25">
      <c r="E20" s="5" t="s">
        <v>24</v>
      </c>
      <c r="F20" s="1">
        <v>20</v>
      </c>
      <c r="I20" s="5" t="s">
        <v>21</v>
      </c>
      <c r="J20" s="3">
        <v>32.549999999999997</v>
      </c>
      <c r="O20" s="5" t="s">
        <v>24</v>
      </c>
      <c r="P20" s="3">
        <v>5.333333333333333</v>
      </c>
    </row>
    <row r="21" spans="5:16" x14ac:dyDescent="0.25">
      <c r="E21" s="5" t="s">
        <v>25</v>
      </c>
      <c r="F21" s="1">
        <v>10</v>
      </c>
      <c r="I21" s="5" t="s">
        <v>22</v>
      </c>
      <c r="J21" s="3">
        <v>35.642857142857146</v>
      </c>
      <c r="O21" s="5" t="s">
        <v>25</v>
      </c>
      <c r="P21" s="3">
        <v>5.333333333333333</v>
      </c>
    </row>
    <row r="22" spans="5:16" x14ac:dyDescent="0.25">
      <c r="E22" s="5" t="s">
        <v>26</v>
      </c>
      <c r="F22" s="1">
        <v>17</v>
      </c>
      <c r="I22" s="5" t="s">
        <v>23</v>
      </c>
      <c r="J22" s="3">
        <v>38.764705882352942</v>
      </c>
      <c r="O22" s="5" t="s">
        <v>26</v>
      </c>
      <c r="P22" s="3">
        <v>5.5714285714285712</v>
      </c>
    </row>
    <row r="23" spans="5:16" x14ac:dyDescent="0.25">
      <c r="E23" s="5" t="s">
        <v>27</v>
      </c>
      <c r="F23" s="1">
        <v>15</v>
      </c>
      <c r="I23" s="5" t="s">
        <v>24</v>
      </c>
      <c r="J23" s="3">
        <v>39.9</v>
      </c>
      <c r="O23" s="5" t="s">
        <v>27</v>
      </c>
      <c r="P23" s="3">
        <v>5</v>
      </c>
    </row>
    <row r="24" spans="5:16" x14ac:dyDescent="0.25">
      <c r="E24" s="5" t="s">
        <v>28</v>
      </c>
      <c r="F24" s="1">
        <v>16</v>
      </c>
      <c r="I24" s="5" t="s">
        <v>25</v>
      </c>
      <c r="J24" s="3">
        <v>41.6</v>
      </c>
      <c r="O24" s="5" t="s">
        <v>28</v>
      </c>
      <c r="P24" s="3">
        <v>6.4</v>
      </c>
    </row>
    <row r="25" spans="5:16" x14ac:dyDescent="0.25">
      <c r="E25" s="5" t="s">
        <v>29</v>
      </c>
      <c r="F25" s="1">
        <v>18</v>
      </c>
      <c r="I25" s="5" t="s">
        <v>26</v>
      </c>
      <c r="J25" s="3">
        <v>39.470588235294116</v>
      </c>
      <c r="O25" s="5" t="s">
        <v>29</v>
      </c>
      <c r="P25" s="3">
        <v>5.333333333333333</v>
      </c>
    </row>
    <row r="26" spans="5:16" x14ac:dyDescent="0.25">
      <c r="E26" s="5" t="s">
        <v>30</v>
      </c>
      <c r="F26" s="1">
        <v>16</v>
      </c>
      <c r="I26" s="5" t="s">
        <v>27</v>
      </c>
      <c r="J26" s="3">
        <v>27.733333333333334</v>
      </c>
      <c r="O26" s="5" t="s">
        <v>30</v>
      </c>
      <c r="P26" s="3">
        <v>3.75</v>
      </c>
    </row>
    <row r="27" spans="5:16" x14ac:dyDescent="0.25">
      <c r="E27" s="5" t="s">
        <v>31</v>
      </c>
      <c r="F27" s="1">
        <v>15</v>
      </c>
      <c r="I27" s="5" t="s">
        <v>28</v>
      </c>
      <c r="J27" s="3">
        <v>36.875</v>
      </c>
      <c r="O27" s="5" t="s">
        <v>31</v>
      </c>
      <c r="P27" s="3">
        <v>6.333333333333333</v>
      </c>
    </row>
    <row r="28" spans="5:16" x14ac:dyDescent="0.25">
      <c r="E28" s="5" t="s">
        <v>32</v>
      </c>
      <c r="F28" s="1">
        <v>14</v>
      </c>
      <c r="I28" s="5" t="s">
        <v>29</v>
      </c>
      <c r="J28" s="3">
        <v>40.333333333333336</v>
      </c>
      <c r="O28" s="5" t="s">
        <v>32</v>
      </c>
      <c r="P28" s="3">
        <v>10</v>
      </c>
    </row>
    <row r="29" spans="5:16" x14ac:dyDescent="0.25">
      <c r="E29" s="5" t="s">
        <v>33</v>
      </c>
      <c r="F29" s="1">
        <v>16</v>
      </c>
      <c r="I29" s="5" t="s">
        <v>30</v>
      </c>
      <c r="J29" s="3">
        <v>36.5</v>
      </c>
      <c r="O29" s="5" t="s">
        <v>33</v>
      </c>
      <c r="P29" s="3">
        <v>5</v>
      </c>
    </row>
    <row r="30" spans="5:16" x14ac:dyDescent="0.25">
      <c r="E30" s="5" t="s">
        <v>34</v>
      </c>
      <c r="F30" s="1">
        <v>20</v>
      </c>
      <c r="I30" s="5" t="s">
        <v>31</v>
      </c>
      <c r="J30" s="3">
        <v>32.866666666666667</v>
      </c>
      <c r="O30" s="5" t="s">
        <v>34</v>
      </c>
      <c r="P30" s="3">
        <v>5.333333333333333</v>
      </c>
    </row>
    <row r="31" spans="5:16" x14ac:dyDescent="0.25">
      <c r="E31" s="5" t="s">
        <v>35</v>
      </c>
      <c r="F31" s="1">
        <v>19</v>
      </c>
      <c r="I31" s="5" t="s">
        <v>32</v>
      </c>
      <c r="J31" s="3">
        <v>36.642857142857146</v>
      </c>
      <c r="O31" s="5" t="s">
        <v>35</v>
      </c>
      <c r="P31" s="3">
        <v>4.8</v>
      </c>
    </row>
    <row r="32" spans="5:16" x14ac:dyDescent="0.25">
      <c r="E32" s="5" t="s">
        <v>36</v>
      </c>
      <c r="F32" s="1">
        <v>14</v>
      </c>
      <c r="I32" s="5" t="s">
        <v>33</v>
      </c>
      <c r="J32" s="3">
        <v>36.5625</v>
      </c>
      <c r="O32" s="5" t="s">
        <v>36</v>
      </c>
      <c r="P32" s="3">
        <v>5</v>
      </c>
    </row>
    <row r="33" spans="1:16" x14ac:dyDescent="0.25">
      <c r="E33" s="5" t="s">
        <v>37</v>
      </c>
      <c r="F33" s="1">
        <v>18</v>
      </c>
      <c r="I33" s="5" t="s">
        <v>34</v>
      </c>
      <c r="J33" s="3">
        <v>32.15</v>
      </c>
      <c r="O33" s="5" t="s">
        <v>37</v>
      </c>
      <c r="P33" s="3">
        <v>1.4</v>
      </c>
    </row>
    <row r="34" spans="1:16" x14ac:dyDescent="0.25">
      <c r="E34" s="5" t="s">
        <v>5</v>
      </c>
      <c r="F34" s="1">
        <v>513</v>
      </c>
      <c r="I34" s="5" t="s">
        <v>35</v>
      </c>
      <c r="J34" s="3">
        <v>38.368421052631582</v>
      </c>
      <c r="O34" s="5" t="s">
        <v>5</v>
      </c>
      <c r="P34" s="3">
        <v>4.9591836734693882</v>
      </c>
    </row>
    <row r="35" spans="1:16" x14ac:dyDescent="0.25">
      <c r="A35" s="2" t="s">
        <v>4</v>
      </c>
      <c r="B35" t="s">
        <v>47</v>
      </c>
      <c r="C35" t="s">
        <v>48</v>
      </c>
      <c r="I35" s="5" t="s">
        <v>36</v>
      </c>
      <c r="J35" s="3">
        <v>33.071428571428569</v>
      </c>
    </row>
    <row r="36" spans="1:16" x14ac:dyDescent="0.25">
      <c r="A36" s="5" t="s">
        <v>45</v>
      </c>
      <c r="B36" s="7">
        <v>269</v>
      </c>
      <c r="C36" s="8">
        <v>0.52436647173489281</v>
      </c>
      <c r="I36" s="5" t="s">
        <v>37</v>
      </c>
      <c r="J36" s="3">
        <v>36.444444444444443</v>
      </c>
    </row>
    <row r="37" spans="1:16" x14ac:dyDescent="0.25">
      <c r="A37" s="5" t="s">
        <v>46</v>
      </c>
      <c r="B37" s="7">
        <v>244</v>
      </c>
      <c r="C37" s="8">
        <v>0.47563352826510719</v>
      </c>
      <c r="I37" s="5" t="s">
        <v>5</v>
      </c>
      <c r="J37" s="3">
        <v>36.323586744639378</v>
      </c>
    </row>
    <row r="38" spans="1:16" x14ac:dyDescent="0.25">
      <c r="A38" s="5" t="s">
        <v>5</v>
      </c>
      <c r="B38" s="7">
        <v>513</v>
      </c>
      <c r="C38" s="8">
        <v>1</v>
      </c>
    </row>
    <row r="41" spans="1:16" x14ac:dyDescent="0.25">
      <c r="A41" s="9" t="s">
        <v>50</v>
      </c>
      <c r="B41" s="9" t="s">
        <v>51</v>
      </c>
      <c r="C41" s="9" t="s">
        <v>49</v>
      </c>
      <c r="D41" s="9"/>
      <c r="E41" s="9"/>
    </row>
    <row r="42" spans="1:16" x14ac:dyDescent="0.25">
      <c r="A42" s="9" t="str">
        <f>A37</f>
        <v>Not Admitted</v>
      </c>
      <c r="B42" s="9">
        <f>B37</f>
        <v>244</v>
      </c>
      <c r="C42" s="10">
        <f>C37</f>
        <v>0.47563352826510719</v>
      </c>
      <c r="D42" s="9"/>
      <c r="E42" s="9"/>
    </row>
    <row r="43" spans="1:16" x14ac:dyDescent="0.25">
      <c r="A43" s="9" t="str">
        <f>A36</f>
        <v>Admitted</v>
      </c>
      <c r="B43" s="9">
        <f>B36</f>
        <v>269</v>
      </c>
      <c r="C43" s="10">
        <f>C36</f>
        <v>0.52436647173489281</v>
      </c>
      <c r="D43" s="9"/>
      <c r="E43" s="9"/>
    </row>
    <row r="45" spans="1:16" x14ac:dyDescent="0.25">
      <c r="A45" t="s">
        <v>61</v>
      </c>
    </row>
    <row r="46" spans="1:16" x14ac:dyDescent="0.25">
      <c r="A46" s="2" t="s">
        <v>4</v>
      </c>
      <c r="B46" t="s">
        <v>60</v>
      </c>
    </row>
    <row r="47" spans="1:16" x14ac:dyDescent="0.25">
      <c r="A47" s="5" t="s">
        <v>52</v>
      </c>
      <c r="B47" s="7">
        <v>76</v>
      </c>
    </row>
    <row r="48" spans="1:16" x14ac:dyDescent="0.25">
      <c r="A48" s="5" t="s">
        <v>53</v>
      </c>
      <c r="B48" s="7">
        <v>69</v>
      </c>
    </row>
    <row r="49" spans="1:2" x14ac:dyDescent="0.25">
      <c r="A49" s="5" t="s">
        <v>54</v>
      </c>
      <c r="B49" s="7">
        <v>64</v>
      </c>
    </row>
    <row r="50" spans="1:2" x14ac:dyDescent="0.25">
      <c r="A50" s="5" t="s">
        <v>55</v>
      </c>
      <c r="B50" s="7">
        <v>59</v>
      </c>
    </row>
    <row r="51" spans="1:2" x14ac:dyDescent="0.25">
      <c r="A51" s="5" t="s">
        <v>56</v>
      </c>
      <c r="B51" s="7">
        <v>58</v>
      </c>
    </row>
    <row r="52" spans="1:2" x14ac:dyDescent="0.25">
      <c r="A52" s="5" t="s">
        <v>57</v>
      </c>
      <c r="B52" s="7">
        <v>66</v>
      </c>
    </row>
    <row r="53" spans="1:2" x14ac:dyDescent="0.25">
      <c r="A53" s="5" t="s">
        <v>58</v>
      </c>
      <c r="B53" s="7">
        <v>67</v>
      </c>
    </row>
    <row r="54" spans="1:2" x14ac:dyDescent="0.25">
      <c r="A54" s="5" t="s">
        <v>59</v>
      </c>
      <c r="B54" s="7">
        <v>54</v>
      </c>
    </row>
    <row r="55" spans="1:2" x14ac:dyDescent="0.25">
      <c r="A55" s="5" t="s">
        <v>5</v>
      </c>
      <c r="B55" s="7">
        <v>513</v>
      </c>
    </row>
    <row r="58" spans="1:2" x14ac:dyDescent="0.25">
      <c r="A58" t="s">
        <v>65</v>
      </c>
    </row>
    <row r="59" spans="1:2" x14ac:dyDescent="0.25">
      <c r="A59" s="2" t="s">
        <v>4</v>
      </c>
      <c r="B59" t="s">
        <v>64</v>
      </c>
    </row>
    <row r="60" spans="1:2" x14ac:dyDescent="0.25">
      <c r="A60" s="5" t="s">
        <v>62</v>
      </c>
      <c r="B60" s="7">
        <v>316</v>
      </c>
    </row>
    <row r="61" spans="1:2" x14ac:dyDescent="0.25">
      <c r="A61" s="5" t="s">
        <v>63</v>
      </c>
      <c r="B61" s="7">
        <v>197</v>
      </c>
    </row>
    <row r="62" spans="1:2" x14ac:dyDescent="0.25">
      <c r="A62" s="5" t="s">
        <v>5</v>
      </c>
      <c r="B62" s="7">
        <v>513</v>
      </c>
    </row>
    <row r="64" spans="1:2" x14ac:dyDescent="0.25">
      <c r="A64" s="5" t="s">
        <v>69</v>
      </c>
    </row>
    <row r="65" spans="1:4" x14ac:dyDescent="0.25">
      <c r="A65" s="2" t="s">
        <v>4</v>
      </c>
      <c r="B65" t="s">
        <v>66</v>
      </c>
    </row>
    <row r="66" spans="1:4" x14ac:dyDescent="0.25">
      <c r="A66" s="5" t="s">
        <v>67</v>
      </c>
      <c r="B66" s="7">
        <v>241</v>
      </c>
    </row>
    <row r="67" spans="1:4" x14ac:dyDescent="0.25">
      <c r="A67" s="5" t="s">
        <v>68</v>
      </c>
      <c r="B67" s="7">
        <v>272</v>
      </c>
    </row>
    <row r="68" spans="1:4" x14ac:dyDescent="0.25">
      <c r="A68" s="5" t="s">
        <v>5</v>
      </c>
      <c r="B68" s="7">
        <v>513</v>
      </c>
    </row>
    <row r="71" spans="1:4" x14ac:dyDescent="0.25">
      <c r="A71" s="2" t="s">
        <v>4</v>
      </c>
      <c r="B71" t="s">
        <v>70</v>
      </c>
    </row>
    <row r="72" spans="1:4" x14ac:dyDescent="0.25">
      <c r="A72" s="5" t="s">
        <v>72</v>
      </c>
      <c r="B72" s="7">
        <v>4</v>
      </c>
    </row>
    <row r="73" spans="1:4" x14ac:dyDescent="0.25">
      <c r="A73" s="5" t="s">
        <v>78</v>
      </c>
      <c r="B73" s="7">
        <v>5</v>
      </c>
    </row>
    <row r="74" spans="1:4" x14ac:dyDescent="0.25">
      <c r="A74" s="5" t="s">
        <v>74</v>
      </c>
      <c r="B74" s="7">
        <v>9</v>
      </c>
    </row>
    <row r="75" spans="1:4" x14ac:dyDescent="0.25">
      <c r="A75" s="5" t="s">
        <v>77</v>
      </c>
      <c r="B75" s="7">
        <v>14</v>
      </c>
    </row>
    <row r="76" spans="1:4" x14ac:dyDescent="0.25">
      <c r="A76" s="5" t="s">
        <v>71</v>
      </c>
      <c r="B76" s="7">
        <v>14</v>
      </c>
    </row>
    <row r="77" spans="1:4" x14ac:dyDescent="0.25">
      <c r="A77" s="5" t="s">
        <v>76</v>
      </c>
      <c r="B77" s="7">
        <v>65</v>
      </c>
      <c r="D77" s="2" t="s">
        <v>4</v>
      </c>
    </row>
    <row r="78" spans="1:4" x14ac:dyDescent="0.25">
      <c r="A78" s="5" t="s">
        <v>73</v>
      </c>
      <c r="B78" s="7">
        <v>103</v>
      </c>
      <c r="D78" s="5" t="s">
        <v>6</v>
      </c>
    </row>
    <row r="79" spans="1:4" x14ac:dyDescent="0.25">
      <c r="A79" s="5" t="s">
        <v>75</v>
      </c>
      <c r="B79" s="7">
        <v>299</v>
      </c>
      <c r="D79" s="5" t="s">
        <v>5</v>
      </c>
    </row>
    <row r="80" spans="1:4" x14ac:dyDescent="0.25">
      <c r="A80" s="5" t="s">
        <v>5</v>
      </c>
      <c r="B80" s="7">
        <v>513</v>
      </c>
    </row>
  </sheetData>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1171B-E68F-4341-8C42-70EA38772407}">
  <dimension ref="A1:AH48"/>
  <sheetViews>
    <sheetView zoomScale="170" zoomScaleNormal="170" workbookViewId="0">
      <selection activeCell="K5" sqref="K5"/>
    </sheetView>
  </sheetViews>
  <sheetFormatPr defaultRowHeight="15" x14ac:dyDescent="0.25"/>
  <cols>
    <col min="6" max="6" width="9.140625" customWidth="1"/>
  </cols>
  <sheetData>
    <row r="1" spans="1:34" x14ac:dyDescent="0.25">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2" spans="1:34" x14ac:dyDescent="0.2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x14ac:dyDescent="0.25">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row>
    <row r="4" spans="1:34" x14ac:dyDescent="0.25">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spans="1:34" x14ac:dyDescent="0.25">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spans="1:34"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spans="1:34" x14ac:dyDescent="0.25">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spans="1:34" x14ac:dyDescent="0.25">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spans="1:34" x14ac:dyDescent="0.25">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spans="1:34" x14ac:dyDescent="0.25">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spans="1:34" x14ac:dyDescent="0.25">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spans="1:34" x14ac:dyDescent="0.25">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spans="1:34"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spans="1:34" x14ac:dyDescent="0.25">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spans="1:34" x14ac:dyDescent="0.2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spans="1:34" x14ac:dyDescent="0.25">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spans="1:34" x14ac:dyDescent="0.25">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spans="1:34" x14ac:dyDescent="0.25">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spans="1:34" x14ac:dyDescent="0.25">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spans="1:34" x14ac:dyDescent="0.25">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spans="1:34" x14ac:dyDescent="0.25">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spans="1:34" x14ac:dyDescent="0.25">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spans="1:34" x14ac:dyDescent="0.25">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spans="1:34" x14ac:dyDescent="0.25">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spans="1:34" x14ac:dyDescent="0.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x14ac:dyDescent="0.25">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spans="1:34" x14ac:dyDescent="0.25">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spans="1:34" x14ac:dyDescent="0.25">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spans="1:34" x14ac:dyDescent="0.25">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x14ac:dyDescent="0.25">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x14ac:dyDescent="0.25">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x14ac:dyDescent="0.25">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x14ac:dyDescent="0.25">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x14ac:dyDescent="0.25">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x14ac:dyDescent="0.2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x14ac:dyDescent="0.25">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x14ac:dyDescent="0.25">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x14ac:dyDescent="0.25">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x14ac:dyDescent="0.25">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spans="1:34" x14ac:dyDescent="0.25">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spans="1:34" x14ac:dyDescent="0.25">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spans="1:34" x14ac:dyDescent="0.25">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spans="1:34" x14ac:dyDescent="0.25">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x14ac:dyDescent="0.25">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x14ac:dyDescent="0.25">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x14ac:dyDescent="0.25">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x14ac:dyDescent="0.25">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x14ac:dyDescent="0.25">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B38E1-1472-41B8-ADE3-C5EAA6247A1D}">
  <dimension ref="A1"/>
  <sheetViews>
    <sheetView topLeftCell="B1" workbookViewId="0">
      <selection activeCell="B3" sqref="B3"/>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BAD26-879A-4BBE-A48C-D2D48F566CC4}">
  <dimension ref="A1:Q24"/>
  <sheetViews>
    <sheetView tabSelected="1" topLeftCell="D1" workbookViewId="0"/>
  </sheetViews>
  <sheetFormatPr defaultRowHeight="15" x14ac:dyDescent="0.25"/>
  <sheetData>
    <row r="1" spans="1:17" x14ac:dyDescent="0.25">
      <c r="A1" s="4"/>
      <c r="B1" s="4"/>
      <c r="C1" s="4"/>
      <c r="D1" s="4"/>
      <c r="E1" s="4"/>
      <c r="F1" s="4"/>
      <c r="G1" s="4"/>
      <c r="H1" s="4"/>
      <c r="I1" s="4"/>
      <c r="J1" s="4"/>
      <c r="K1" s="4"/>
      <c r="L1" s="4"/>
      <c r="M1" s="4"/>
      <c r="N1" s="4"/>
      <c r="O1" s="4"/>
      <c r="P1" s="4"/>
      <c r="Q1" s="4"/>
    </row>
    <row r="2" spans="1:17" x14ac:dyDescent="0.25">
      <c r="A2" s="4"/>
      <c r="B2" s="4"/>
      <c r="C2" s="4"/>
      <c r="D2" s="4"/>
      <c r="E2" s="4"/>
      <c r="F2" s="4"/>
      <c r="G2" s="4"/>
      <c r="H2" s="4"/>
      <c r="I2" s="4"/>
      <c r="J2" s="4"/>
      <c r="K2" s="4"/>
      <c r="L2" s="4"/>
      <c r="M2" s="4"/>
      <c r="N2" s="4"/>
      <c r="O2" s="4"/>
      <c r="P2" s="4"/>
      <c r="Q2" s="4"/>
    </row>
    <row r="3" spans="1:17" x14ac:dyDescent="0.25">
      <c r="A3" s="4"/>
      <c r="B3" s="4"/>
      <c r="C3" s="4"/>
      <c r="D3" s="4"/>
      <c r="E3" s="4"/>
      <c r="F3" s="4"/>
      <c r="G3" s="4"/>
      <c r="H3" s="4"/>
      <c r="I3" s="4"/>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4"/>
      <c r="B6" s="4"/>
      <c r="C6" s="4"/>
      <c r="D6" s="4"/>
      <c r="E6" s="4"/>
      <c r="F6" s="4"/>
      <c r="G6" s="4"/>
      <c r="H6" s="4"/>
      <c r="I6" s="4"/>
      <c r="J6" s="4"/>
      <c r="K6" s="4"/>
      <c r="L6" s="4"/>
      <c r="M6" s="4"/>
      <c r="N6" s="4"/>
      <c r="O6" s="4"/>
      <c r="P6" s="4"/>
      <c r="Q6" s="4"/>
    </row>
    <row r="7" spans="1:17" x14ac:dyDescent="0.25">
      <c r="A7" s="4"/>
      <c r="B7" s="4"/>
      <c r="C7" s="4"/>
      <c r="D7" s="4"/>
      <c r="E7" s="4"/>
      <c r="F7" s="4"/>
      <c r="G7" s="4"/>
      <c r="H7" s="4"/>
      <c r="I7" s="4"/>
      <c r="J7" s="4"/>
      <c r="K7" s="4"/>
      <c r="L7" s="4"/>
      <c r="M7" s="4"/>
      <c r="N7" s="4"/>
      <c r="O7" s="4"/>
      <c r="P7" s="4"/>
      <c r="Q7" s="4"/>
    </row>
    <row r="8" spans="1:17" x14ac:dyDescent="0.25">
      <c r="A8" s="4"/>
      <c r="B8" s="4"/>
      <c r="C8" s="4"/>
      <c r="D8" s="4"/>
      <c r="E8" s="4"/>
      <c r="F8" s="4"/>
      <c r="G8" s="4"/>
      <c r="H8" s="4"/>
      <c r="I8" s="4"/>
      <c r="J8" s="4"/>
      <c r="K8" s="4"/>
      <c r="L8" s="4"/>
      <c r="M8" s="4"/>
      <c r="N8" s="4"/>
      <c r="O8" s="4"/>
      <c r="P8" s="4"/>
      <c r="Q8" s="4"/>
    </row>
    <row r="9" spans="1:17" x14ac:dyDescent="0.25">
      <c r="A9" s="4"/>
      <c r="B9" s="4"/>
      <c r="C9" s="4"/>
      <c r="D9" s="4"/>
      <c r="E9" s="4"/>
      <c r="F9" s="4"/>
      <c r="G9" s="4"/>
      <c r="H9" s="4"/>
      <c r="I9" s="4"/>
      <c r="J9" s="4"/>
      <c r="K9" s="4"/>
      <c r="L9" s="4"/>
      <c r="M9" s="4"/>
      <c r="N9" s="4"/>
      <c r="O9" s="4"/>
      <c r="P9" s="4"/>
      <c r="Q9" s="4"/>
    </row>
    <row r="10" spans="1:17" x14ac:dyDescent="0.25">
      <c r="A10" s="4"/>
      <c r="B10" s="4"/>
      <c r="C10" s="4"/>
      <c r="D10" s="4"/>
      <c r="E10" s="4"/>
      <c r="F10" s="4"/>
      <c r="G10" s="4"/>
      <c r="H10" s="4"/>
      <c r="I10" s="4"/>
      <c r="J10" s="4"/>
      <c r="K10" s="4"/>
      <c r="L10" s="4"/>
      <c r="M10" s="4"/>
      <c r="N10" s="4"/>
      <c r="O10" s="4"/>
      <c r="P10" s="4"/>
      <c r="Q10" s="4"/>
    </row>
    <row r="11" spans="1:17" x14ac:dyDescent="0.25">
      <c r="A11" s="4"/>
      <c r="B11" s="4"/>
      <c r="C11" s="4"/>
      <c r="D11" s="4"/>
      <c r="E11" s="4"/>
      <c r="F11" s="4"/>
      <c r="G11" s="4"/>
      <c r="H11" s="4"/>
      <c r="I11" s="4"/>
      <c r="J11" s="4"/>
      <c r="K11" s="4"/>
      <c r="L11" s="4"/>
      <c r="M11" s="4"/>
      <c r="N11" s="4"/>
      <c r="O11" s="4"/>
      <c r="P11" s="4"/>
      <c r="Q11" s="4"/>
    </row>
    <row r="12" spans="1:17" x14ac:dyDescent="0.25">
      <c r="A12" s="4"/>
      <c r="B12" s="4"/>
      <c r="C12" s="4"/>
      <c r="D12" s="4"/>
      <c r="E12" s="4"/>
      <c r="F12" s="4"/>
      <c r="G12" s="4"/>
      <c r="H12" s="4"/>
      <c r="I12" s="4"/>
      <c r="J12" s="4"/>
      <c r="K12" s="4"/>
      <c r="L12" s="4"/>
      <c r="M12" s="4"/>
      <c r="N12" s="4"/>
      <c r="O12" s="4"/>
      <c r="P12" s="4"/>
      <c r="Q12" s="4"/>
    </row>
    <row r="13" spans="1:17" x14ac:dyDescent="0.25">
      <c r="A13" s="4"/>
      <c r="B13" s="4"/>
      <c r="C13" s="4"/>
      <c r="D13" s="4"/>
      <c r="E13" s="4"/>
      <c r="F13" s="4"/>
      <c r="G13" s="4"/>
      <c r="H13" s="4"/>
      <c r="I13" s="4"/>
      <c r="J13" s="4"/>
      <c r="K13" s="4"/>
      <c r="L13" s="4"/>
      <c r="M13" s="4"/>
      <c r="N13" s="4"/>
      <c r="O13" s="4"/>
      <c r="P13" s="4"/>
      <c r="Q13" s="4"/>
    </row>
    <row r="14" spans="1:17" x14ac:dyDescent="0.25">
      <c r="A14" s="4"/>
      <c r="B14" s="4"/>
      <c r="C14" s="4"/>
      <c r="D14" s="4"/>
      <c r="E14" s="4"/>
      <c r="F14" s="4"/>
      <c r="G14" s="4"/>
      <c r="H14" s="4"/>
      <c r="I14" s="4"/>
      <c r="J14" s="4"/>
      <c r="K14" s="4"/>
      <c r="L14" s="4"/>
      <c r="M14" s="4"/>
      <c r="N14" s="4"/>
      <c r="O14" s="4"/>
      <c r="P14" s="4"/>
      <c r="Q14" s="4"/>
    </row>
    <row r="15" spans="1:17" x14ac:dyDescent="0.25">
      <c r="A15" s="4"/>
      <c r="B15" s="4"/>
      <c r="C15" s="4"/>
      <c r="D15" s="4"/>
      <c r="E15" s="4"/>
      <c r="F15" s="4"/>
      <c r="G15" s="4"/>
      <c r="H15" s="4"/>
      <c r="I15" s="4"/>
      <c r="J15" s="4"/>
      <c r="K15" s="4"/>
      <c r="L15" s="4"/>
      <c r="M15" s="4"/>
      <c r="N15" s="4"/>
      <c r="O15" s="4"/>
      <c r="P15" s="4"/>
      <c r="Q15" s="4"/>
    </row>
    <row r="16" spans="1:17" x14ac:dyDescent="0.25">
      <c r="A16" s="4"/>
      <c r="B16" s="4"/>
      <c r="C16" s="4"/>
      <c r="D16" s="4"/>
      <c r="E16" s="4"/>
      <c r="F16" s="4"/>
      <c r="G16" s="4"/>
      <c r="H16" s="4"/>
      <c r="I16" s="4"/>
      <c r="J16" s="4"/>
      <c r="K16" s="4"/>
      <c r="L16" s="4"/>
      <c r="M16" s="4"/>
      <c r="N16" s="4"/>
      <c r="O16" s="4"/>
      <c r="P16" s="4"/>
      <c r="Q16" s="4"/>
    </row>
    <row r="17" spans="1:17" x14ac:dyDescent="0.25">
      <c r="A17" s="4"/>
      <c r="B17" s="4"/>
      <c r="C17" s="4"/>
      <c r="D17" s="4"/>
      <c r="E17" s="4"/>
      <c r="F17" s="4"/>
      <c r="G17" s="4"/>
      <c r="H17" s="4"/>
      <c r="I17" s="4"/>
      <c r="J17" s="4"/>
      <c r="K17" s="4"/>
      <c r="L17" s="4"/>
      <c r="M17" s="4"/>
      <c r="N17" s="4"/>
      <c r="O17" s="4"/>
      <c r="P17" s="4"/>
      <c r="Q17" s="4"/>
    </row>
    <row r="18" spans="1:17" x14ac:dyDescent="0.25">
      <c r="A18" s="4"/>
      <c r="B18" s="4"/>
      <c r="C18" s="4"/>
      <c r="D18" s="4"/>
      <c r="E18" s="4"/>
      <c r="F18" s="4"/>
      <c r="G18" s="4"/>
      <c r="H18" s="4"/>
      <c r="I18" s="4"/>
      <c r="J18" s="4"/>
      <c r="K18" s="4"/>
      <c r="L18" s="4"/>
      <c r="M18" s="4"/>
      <c r="N18" s="4"/>
      <c r="O18" s="4"/>
      <c r="P18" s="4"/>
      <c r="Q18" s="4"/>
    </row>
    <row r="19" spans="1:17" x14ac:dyDescent="0.25">
      <c r="A19" s="4"/>
      <c r="B19" s="4"/>
      <c r="C19" s="4"/>
      <c r="D19" s="4"/>
      <c r="E19" s="4"/>
      <c r="F19" s="4"/>
      <c r="G19" s="4"/>
      <c r="H19" s="4"/>
      <c r="I19" s="4"/>
      <c r="J19" s="4"/>
      <c r="K19" s="4"/>
      <c r="L19" s="4"/>
      <c r="M19" s="4"/>
      <c r="N19" s="4"/>
      <c r="O19" s="4"/>
      <c r="P19" s="4"/>
      <c r="Q19" s="4"/>
    </row>
    <row r="20" spans="1:17" x14ac:dyDescent="0.25">
      <c r="A20" s="4"/>
      <c r="B20" s="4"/>
      <c r="C20" s="4"/>
      <c r="D20" s="4"/>
      <c r="E20" s="4"/>
      <c r="F20" s="4"/>
      <c r="G20" s="4"/>
      <c r="H20" s="4"/>
      <c r="I20" s="4"/>
      <c r="J20" s="4"/>
      <c r="K20" s="4"/>
      <c r="L20" s="4"/>
      <c r="M20" s="4"/>
      <c r="N20" s="4"/>
      <c r="O20" s="4"/>
      <c r="P20" s="4"/>
      <c r="Q20" s="4"/>
    </row>
    <row r="21" spans="1:17" x14ac:dyDescent="0.25">
      <c r="A21" s="4"/>
      <c r="B21" s="4"/>
      <c r="C21" s="4"/>
      <c r="D21" s="4"/>
      <c r="E21" s="4"/>
      <c r="F21" s="4"/>
      <c r="G21" s="4"/>
      <c r="H21" s="4"/>
      <c r="I21" s="4"/>
      <c r="J21" s="4"/>
      <c r="K21" s="4"/>
      <c r="L21" s="4"/>
      <c r="M21" s="4"/>
      <c r="N21" s="4"/>
      <c r="O21" s="4"/>
      <c r="P21" s="4"/>
      <c r="Q21" s="4"/>
    </row>
    <row r="22" spans="1:17" x14ac:dyDescent="0.25">
      <c r="A22" s="4"/>
      <c r="B22" s="4"/>
      <c r="C22" s="4"/>
      <c r="D22" s="4"/>
      <c r="E22" s="4"/>
      <c r="F22" s="4"/>
      <c r="G22" s="4"/>
      <c r="H22" s="4"/>
      <c r="I22" s="4"/>
      <c r="J22" s="4"/>
      <c r="K22" s="4"/>
      <c r="L22" s="4"/>
      <c r="M22" s="4"/>
      <c r="N22" s="4"/>
      <c r="O22" s="4"/>
      <c r="P22" s="4"/>
      <c r="Q22" s="4"/>
    </row>
    <row r="23" spans="1:17" x14ac:dyDescent="0.25">
      <c r="A23" s="4"/>
      <c r="B23" s="4"/>
      <c r="C23" s="4"/>
      <c r="D23" s="4"/>
      <c r="E23" s="4"/>
      <c r="F23" s="4"/>
      <c r="G23" s="4"/>
      <c r="H23" s="4"/>
      <c r="I23" s="4"/>
      <c r="J23" s="4"/>
      <c r="K23" s="4"/>
      <c r="L23" s="4"/>
      <c r="M23" s="4"/>
      <c r="N23" s="4"/>
      <c r="O23" s="4"/>
      <c r="P23" s="4"/>
      <c r="Q23" s="4"/>
    </row>
    <row r="24" spans="1:17" x14ac:dyDescent="0.25">
      <c r="A24" s="4"/>
      <c r="B24" s="4"/>
      <c r="C24" s="4"/>
      <c r="D24" s="4"/>
      <c r="E24" s="4"/>
      <c r="F24" s="4"/>
      <c r="G24" s="4"/>
      <c r="H24" s="4"/>
      <c r="I24" s="4"/>
      <c r="J24" s="4"/>
      <c r="K24" s="4"/>
      <c r="L24" s="4"/>
      <c r="M24" s="4"/>
      <c r="N24" s="4"/>
      <c r="O24" s="4"/>
      <c r="P24" s="4"/>
      <c r="Q24"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CE859-7757-4A8C-B57B-5FB863E0038C}">
  <dimension ref="A1:Q24"/>
  <sheetViews>
    <sheetView workbookViewId="0"/>
  </sheetViews>
  <sheetFormatPr defaultRowHeight="15" x14ac:dyDescent="0.25"/>
  <sheetData>
    <row r="1" spans="1:17" x14ac:dyDescent="0.25">
      <c r="A1" s="4"/>
      <c r="B1" s="4"/>
      <c r="C1" s="4"/>
      <c r="D1" s="4"/>
      <c r="E1" s="4"/>
      <c r="F1" s="4"/>
      <c r="G1" s="4"/>
      <c r="H1" s="4"/>
      <c r="I1" s="4"/>
      <c r="J1" s="4"/>
      <c r="K1" s="4"/>
      <c r="L1" s="4"/>
      <c r="M1" s="4"/>
      <c r="N1" s="4"/>
      <c r="O1" s="4"/>
      <c r="P1" s="4"/>
      <c r="Q1" s="4"/>
    </row>
    <row r="2" spans="1:17" x14ac:dyDescent="0.25">
      <c r="A2" s="4"/>
      <c r="B2" s="4"/>
      <c r="C2" s="4"/>
      <c r="D2" s="4"/>
      <c r="E2" s="4"/>
      <c r="F2" s="4"/>
      <c r="G2" s="4"/>
      <c r="H2" s="4"/>
      <c r="I2" s="4"/>
      <c r="J2" s="4"/>
      <c r="K2" s="4"/>
      <c r="L2" s="4"/>
      <c r="M2" s="4"/>
      <c r="N2" s="4"/>
      <c r="O2" s="4"/>
      <c r="P2" s="4"/>
      <c r="Q2" s="4"/>
    </row>
    <row r="3" spans="1:17" x14ac:dyDescent="0.25">
      <c r="A3" s="4"/>
      <c r="B3" s="4"/>
      <c r="C3" s="4"/>
      <c r="D3" s="4"/>
      <c r="E3" s="4"/>
      <c r="F3" s="4"/>
      <c r="G3" s="4"/>
      <c r="H3" s="4"/>
      <c r="I3" s="4"/>
      <c r="J3" s="4"/>
      <c r="K3" s="4"/>
      <c r="L3" s="4"/>
      <c r="M3" s="4"/>
      <c r="N3" s="4"/>
      <c r="O3" s="4"/>
      <c r="P3" s="4"/>
      <c r="Q3" s="4"/>
    </row>
    <row r="4" spans="1:17" x14ac:dyDescent="0.25">
      <c r="A4" s="4"/>
      <c r="B4" s="4"/>
      <c r="C4" s="4"/>
      <c r="D4" s="4"/>
      <c r="E4" s="4"/>
      <c r="F4" s="4"/>
      <c r="G4" s="4"/>
      <c r="H4" s="4"/>
      <c r="I4" s="4"/>
      <c r="J4" s="4"/>
      <c r="K4" s="4"/>
      <c r="L4" s="4"/>
      <c r="M4" s="4"/>
      <c r="N4" s="4"/>
      <c r="O4" s="4"/>
      <c r="P4" s="4"/>
      <c r="Q4" s="4"/>
    </row>
    <row r="5" spans="1:17" x14ac:dyDescent="0.25">
      <c r="A5" s="4"/>
      <c r="B5" s="4"/>
      <c r="C5" s="4"/>
      <c r="D5" s="4"/>
      <c r="E5" s="4"/>
      <c r="F5" s="4"/>
      <c r="G5" s="4"/>
      <c r="H5" s="4"/>
      <c r="I5" s="4"/>
      <c r="J5" s="4"/>
      <c r="K5" s="4"/>
      <c r="L5" s="4"/>
      <c r="M5" s="4"/>
      <c r="N5" s="4"/>
      <c r="O5" s="4"/>
      <c r="P5" s="4"/>
      <c r="Q5" s="4"/>
    </row>
    <row r="6" spans="1:17" x14ac:dyDescent="0.25">
      <c r="A6" s="4"/>
      <c r="B6" s="4"/>
      <c r="C6" s="4"/>
      <c r="D6" s="4"/>
      <c r="E6" s="4"/>
      <c r="F6" s="4"/>
      <c r="G6" s="4"/>
      <c r="H6" s="4"/>
      <c r="I6" s="4"/>
      <c r="J6" s="4"/>
      <c r="K6" s="4"/>
      <c r="L6" s="4"/>
      <c r="M6" s="4"/>
      <c r="N6" s="4"/>
      <c r="O6" s="4"/>
      <c r="P6" s="4"/>
      <c r="Q6" s="4"/>
    </row>
    <row r="7" spans="1:17" x14ac:dyDescent="0.25">
      <c r="A7" s="4"/>
      <c r="B7" s="4"/>
      <c r="C7" s="4"/>
      <c r="D7" s="4"/>
      <c r="E7" s="4"/>
      <c r="F7" s="4"/>
      <c r="G7" s="4"/>
      <c r="H7" s="4"/>
      <c r="I7" s="4"/>
      <c r="J7" s="4"/>
      <c r="K7" s="4"/>
      <c r="L7" s="4"/>
      <c r="M7" s="4"/>
      <c r="N7" s="4"/>
      <c r="O7" s="4"/>
      <c r="P7" s="4"/>
      <c r="Q7" s="4"/>
    </row>
    <row r="8" spans="1:17" x14ac:dyDescent="0.25">
      <c r="A8" s="4"/>
      <c r="B8" s="4"/>
      <c r="C8" s="4"/>
      <c r="D8" s="4"/>
      <c r="E8" s="4"/>
      <c r="F8" s="4"/>
      <c r="G8" s="4"/>
      <c r="H8" s="4"/>
      <c r="I8" s="4"/>
      <c r="J8" s="4"/>
      <c r="K8" s="4"/>
      <c r="L8" s="4"/>
      <c r="M8" s="4"/>
      <c r="N8" s="4"/>
      <c r="O8" s="4"/>
      <c r="P8" s="4"/>
      <c r="Q8" s="4"/>
    </row>
    <row r="9" spans="1:17" x14ac:dyDescent="0.25">
      <c r="A9" s="4"/>
      <c r="B9" s="4"/>
      <c r="C9" s="4"/>
      <c r="D9" s="4"/>
      <c r="E9" s="4"/>
      <c r="F9" s="4"/>
      <c r="G9" s="4"/>
      <c r="H9" s="4"/>
      <c r="I9" s="4"/>
      <c r="J9" s="4"/>
      <c r="K9" s="4"/>
      <c r="L9" s="4"/>
      <c r="M9" s="4"/>
      <c r="N9" s="4"/>
      <c r="O9" s="4"/>
      <c r="P9" s="4"/>
      <c r="Q9" s="4"/>
    </row>
    <row r="10" spans="1:17" x14ac:dyDescent="0.25">
      <c r="A10" s="4"/>
      <c r="B10" s="4"/>
      <c r="C10" s="4"/>
      <c r="D10" s="4"/>
      <c r="E10" s="4"/>
      <c r="F10" s="4"/>
      <c r="G10" s="4"/>
      <c r="H10" s="4"/>
      <c r="I10" s="4"/>
      <c r="J10" s="4"/>
      <c r="K10" s="4"/>
      <c r="L10" s="4"/>
      <c r="M10" s="4"/>
      <c r="N10" s="4"/>
      <c r="O10" s="4"/>
      <c r="P10" s="4"/>
      <c r="Q10" s="4"/>
    </row>
    <row r="11" spans="1:17" x14ac:dyDescent="0.25">
      <c r="A11" s="4"/>
      <c r="B11" s="4"/>
      <c r="C11" s="4"/>
      <c r="D11" s="4"/>
      <c r="E11" s="4"/>
      <c r="F11" s="4"/>
      <c r="G11" s="4"/>
      <c r="H11" s="4"/>
      <c r="I11" s="4"/>
      <c r="J11" s="4"/>
      <c r="K11" s="4"/>
      <c r="L11" s="4"/>
      <c r="M11" s="4"/>
      <c r="N11" s="4"/>
      <c r="O11" s="4"/>
      <c r="P11" s="4"/>
      <c r="Q11" s="4"/>
    </row>
    <row r="12" spans="1:17" x14ac:dyDescent="0.25">
      <c r="A12" s="4"/>
      <c r="B12" s="4"/>
      <c r="C12" s="4"/>
      <c r="D12" s="4"/>
      <c r="E12" s="4"/>
      <c r="F12" s="4"/>
      <c r="G12" s="4"/>
      <c r="H12" s="4"/>
      <c r="I12" s="4"/>
      <c r="J12" s="4"/>
      <c r="K12" s="4"/>
      <c r="L12" s="4"/>
      <c r="M12" s="4"/>
      <c r="N12" s="4"/>
      <c r="O12" s="4"/>
      <c r="P12" s="4"/>
      <c r="Q12" s="4"/>
    </row>
    <row r="13" spans="1:17" x14ac:dyDescent="0.25">
      <c r="A13" s="4"/>
      <c r="B13" s="4"/>
      <c r="C13" s="4"/>
      <c r="D13" s="4"/>
      <c r="E13" s="4"/>
      <c r="F13" s="4"/>
      <c r="G13" s="4"/>
      <c r="H13" s="4"/>
      <c r="I13" s="4"/>
      <c r="J13" s="4"/>
      <c r="K13" s="4"/>
      <c r="L13" s="4"/>
      <c r="M13" s="4"/>
      <c r="N13" s="4"/>
      <c r="O13" s="4"/>
      <c r="P13" s="4"/>
      <c r="Q13" s="4"/>
    </row>
    <row r="14" spans="1:17" x14ac:dyDescent="0.25">
      <c r="A14" s="4"/>
      <c r="B14" s="4"/>
      <c r="C14" s="4"/>
      <c r="D14" s="4"/>
      <c r="E14" s="4"/>
      <c r="F14" s="4"/>
      <c r="G14" s="4"/>
      <c r="H14" s="4"/>
      <c r="I14" s="4"/>
      <c r="J14" s="4"/>
      <c r="K14" s="4"/>
      <c r="L14" s="4"/>
      <c r="M14" s="4"/>
      <c r="N14" s="4"/>
      <c r="O14" s="4"/>
      <c r="P14" s="4"/>
      <c r="Q14" s="4"/>
    </row>
    <row r="15" spans="1:17" x14ac:dyDescent="0.25">
      <c r="A15" s="4"/>
      <c r="B15" s="4"/>
      <c r="C15" s="4"/>
      <c r="D15" s="4"/>
      <c r="E15" s="4"/>
      <c r="F15" s="4"/>
      <c r="G15" s="4"/>
      <c r="H15" s="4"/>
      <c r="I15" s="4"/>
      <c r="J15" s="4"/>
      <c r="K15" s="4"/>
      <c r="L15" s="4"/>
      <c r="M15" s="4"/>
      <c r="N15" s="4"/>
      <c r="O15" s="4"/>
      <c r="P15" s="4"/>
      <c r="Q15" s="4"/>
    </row>
    <row r="16" spans="1:17" x14ac:dyDescent="0.25">
      <c r="A16" s="4"/>
      <c r="B16" s="4"/>
      <c r="C16" s="4"/>
      <c r="D16" s="4"/>
      <c r="E16" s="4"/>
      <c r="F16" s="4"/>
      <c r="G16" s="4"/>
      <c r="H16" s="4"/>
      <c r="I16" s="4"/>
      <c r="J16" s="4"/>
      <c r="K16" s="4"/>
      <c r="L16" s="4"/>
      <c r="M16" s="4"/>
      <c r="N16" s="4"/>
      <c r="O16" s="4"/>
      <c r="P16" s="4"/>
      <c r="Q16" s="4"/>
    </row>
    <row r="17" spans="1:17" x14ac:dyDescent="0.25">
      <c r="A17" s="4"/>
      <c r="B17" s="4"/>
      <c r="C17" s="4"/>
      <c r="D17" s="4"/>
      <c r="E17" s="4"/>
      <c r="F17" s="4"/>
      <c r="G17" s="4"/>
      <c r="H17" s="4"/>
      <c r="I17" s="4"/>
      <c r="J17" s="4"/>
      <c r="K17" s="4"/>
      <c r="L17" s="4"/>
      <c r="M17" s="4"/>
      <c r="N17" s="4"/>
      <c r="O17" s="4"/>
      <c r="P17" s="4"/>
      <c r="Q17" s="4"/>
    </row>
    <row r="18" spans="1:17" x14ac:dyDescent="0.25">
      <c r="A18" s="4"/>
      <c r="B18" s="4"/>
      <c r="C18" s="4"/>
      <c r="D18" s="4"/>
      <c r="E18" s="4"/>
      <c r="F18" s="4"/>
      <c r="G18" s="4"/>
      <c r="H18" s="4"/>
      <c r="I18" s="4"/>
      <c r="J18" s="4"/>
      <c r="K18" s="4"/>
      <c r="L18" s="4"/>
      <c r="M18" s="4"/>
      <c r="N18" s="4"/>
      <c r="O18" s="4"/>
      <c r="P18" s="4"/>
      <c r="Q18" s="4"/>
    </row>
    <row r="19" spans="1:17" x14ac:dyDescent="0.25">
      <c r="A19" s="4"/>
      <c r="B19" s="4"/>
      <c r="C19" s="4"/>
      <c r="D19" s="4"/>
      <c r="E19" s="4"/>
      <c r="F19" s="4"/>
      <c r="G19" s="4"/>
      <c r="H19" s="4"/>
      <c r="I19" s="4"/>
      <c r="J19" s="4"/>
      <c r="K19" s="4"/>
      <c r="L19" s="4"/>
      <c r="M19" s="4"/>
      <c r="N19" s="4"/>
      <c r="O19" s="4"/>
      <c r="P19" s="4"/>
      <c r="Q19" s="4"/>
    </row>
    <row r="20" spans="1:17" x14ac:dyDescent="0.25">
      <c r="A20" s="4"/>
      <c r="B20" s="4"/>
      <c r="C20" s="4"/>
      <c r="D20" s="4"/>
      <c r="E20" s="4"/>
      <c r="F20" s="4"/>
      <c r="G20" s="4"/>
      <c r="H20" s="4"/>
      <c r="I20" s="4"/>
      <c r="J20" s="4"/>
      <c r="K20" s="4"/>
      <c r="L20" s="4"/>
      <c r="M20" s="4"/>
      <c r="N20" s="4"/>
      <c r="O20" s="4"/>
      <c r="P20" s="4"/>
      <c r="Q20" s="4"/>
    </row>
    <row r="21" spans="1:17" x14ac:dyDescent="0.25">
      <c r="A21" s="4"/>
      <c r="B21" s="4"/>
      <c r="C21" s="4"/>
      <c r="D21" s="4"/>
      <c r="E21" s="4"/>
      <c r="F21" s="4"/>
      <c r="G21" s="4"/>
      <c r="H21" s="4"/>
      <c r="I21" s="4"/>
      <c r="J21" s="4"/>
      <c r="K21" s="4"/>
      <c r="L21" s="4"/>
      <c r="M21" s="4"/>
      <c r="N21" s="4"/>
      <c r="O21" s="4"/>
      <c r="P21" s="4"/>
      <c r="Q21" s="4"/>
    </row>
    <row r="22" spans="1:17" x14ac:dyDescent="0.25">
      <c r="A22" s="4"/>
      <c r="B22" s="4"/>
      <c r="C22" s="4"/>
      <c r="D22" s="4"/>
      <c r="E22" s="4"/>
      <c r="F22" s="4"/>
      <c r="G22" s="4"/>
      <c r="H22" s="4"/>
      <c r="I22" s="4"/>
      <c r="J22" s="4"/>
      <c r="K22" s="4"/>
      <c r="L22" s="4"/>
      <c r="M22" s="4"/>
      <c r="N22" s="4"/>
      <c r="O22" s="4"/>
      <c r="P22" s="4"/>
      <c r="Q22" s="4"/>
    </row>
    <row r="23" spans="1:17" x14ac:dyDescent="0.25">
      <c r="A23" s="4"/>
      <c r="B23" s="4"/>
      <c r="C23" s="4"/>
      <c r="D23" s="4"/>
      <c r="E23" s="4"/>
      <c r="F23" s="4"/>
      <c r="G23" s="4"/>
      <c r="H23" s="4"/>
      <c r="I23" s="4"/>
      <c r="J23" s="4"/>
      <c r="K23" s="4"/>
      <c r="L23" s="4"/>
      <c r="M23" s="4"/>
      <c r="N23" s="4"/>
      <c r="O23" s="4"/>
      <c r="P23" s="4"/>
      <c r="Q23" s="4"/>
    </row>
    <row r="24" spans="1:17" x14ac:dyDescent="0.25">
      <c r="A24" s="4"/>
      <c r="B24" s="4"/>
      <c r="C24" s="4"/>
      <c r="D24" s="4"/>
      <c r="E24" s="4"/>
      <c r="F24" s="4"/>
      <c r="G24" s="4"/>
      <c r="H24" s="4"/>
      <c r="I24" s="4"/>
      <c r="J24" s="4"/>
      <c r="K24" s="4"/>
      <c r="L24" s="4"/>
      <c r="M24" s="4"/>
      <c r="N24" s="4"/>
      <c r="O24" s="4"/>
      <c r="P24" s="4"/>
      <c r="Q24"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E08A866E271DA458E5191E411ED1415" ma:contentTypeVersion="5" ma:contentTypeDescription="Create a new document." ma:contentTypeScope="" ma:versionID="6d015fdd33b5a94f98c0fd88e688d353">
  <xsd:schema xmlns:xsd="http://www.w3.org/2001/XMLSchema" xmlns:xs="http://www.w3.org/2001/XMLSchema" xmlns:p="http://schemas.microsoft.com/office/2006/metadata/properties" xmlns:ns3="63205ace-9e2d-454e-91bd-b54d7df06808" targetNamespace="http://schemas.microsoft.com/office/2006/metadata/properties" ma:root="true" ma:fieldsID="a741d4a2a33f3852200270fe2e7edc5a" ns3:_="">
    <xsd:import namespace="63205ace-9e2d-454e-91bd-b54d7df06808"/>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205ace-9e2d-454e-91bd-b54d7df06808"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63205ace-9e2d-454e-91bd-b54d7df06808" xsi:nil="true"/>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160F47B-F2C3-4FCA-8F7D-3697A2464B6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205ace-9e2d-454e-91bd-b54d7df068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3C87FE0-2F36-4679-864D-C676AB032C28}">
  <ds:schemaRefs>
    <ds:schemaRef ds:uri="http://schemas.microsoft.com/sharepoint/v3/contenttype/forms"/>
  </ds:schemaRefs>
</ds:datastoreItem>
</file>

<file path=customXml/itemProps3.xml><?xml version="1.0" encoding="utf-8"?>
<ds:datastoreItem xmlns:ds="http://schemas.openxmlformats.org/officeDocument/2006/customXml" ds:itemID="{1326A4BE-4216-45AC-AD3A-1C3E6B5A0573}">
  <ds:schemaRefs>
    <ds:schemaRef ds:uri="http://schemas.microsoft.com/office/2006/metadata/properties"/>
    <ds:schemaRef ds:uri="http://purl.org/dc/dcmitype/"/>
    <ds:schemaRef ds:uri="http://schemas.openxmlformats.org/package/2006/metadata/core-properties"/>
    <ds:schemaRef ds:uri="http://schemas.microsoft.com/office/2006/documentManagement/types"/>
    <ds:schemaRef ds:uri="http://www.w3.org/XML/1998/namespace"/>
    <ds:schemaRef ds:uri="63205ace-9e2d-454e-91bd-b54d7df06808"/>
    <ds:schemaRef ds:uri="http://purl.org/dc/elements/1.1/"/>
    <ds:schemaRef ds:uri="http://schemas.microsoft.com/office/infopath/2007/PartnerControls"/>
    <ds:schemaRef ds:uri="http://purl.org/dc/terms/"/>
  </ds:schemaRefs>
</ds:datastoreItem>
</file>

<file path=customXml/itemProps4.xml><?xml version="1.0" encoding="utf-8"?>
<ds:datastoreItem xmlns:ds="http://schemas.openxmlformats.org/officeDocument/2006/customXml" ds:itemID="{AB59D465-900F-4826-ABA6-22CAA98500D0}">
  <ds:schemaRefs>
    <ds:schemaRef ds:uri="http://schemas.microsoft.com/DataMashup"/>
  </ds:schemaRefs>
</ds:datastoreItem>
</file>

<file path=customXml/itemProps5.xml><?xml version="1.0" encoding="utf-8"?>
<ds:datastoreItem xmlns:ds="http://schemas.openxmlformats.org/officeDocument/2006/customXml" ds:itemID="{CF901614-9056-4309-A0EE-D691929164AB}">
  <ds:schemaRefs/>
</ds:datastoreItem>
</file>

<file path=customXml/itemProps6.xml><?xml version="1.0" encoding="utf-8"?>
<ds:datastoreItem xmlns:ds="http://schemas.openxmlformats.org/officeDocument/2006/customXml" ds:itemID="{59DE7468-70BE-4817-B6F0-3953D7340912}">
  <ds:schemaRefs/>
</ds:datastoreItem>
</file>

<file path=customXml/itemProps7.xml><?xml version="1.0" encoding="utf-8"?>
<ds:datastoreItem xmlns:ds="http://schemas.openxmlformats.org/officeDocument/2006/customXml" ds:itemID="{62CF9163-D76D-4873-A5CD-832379DF7927}">
  <ds:schemaRefs/>
</ds:datastoreItem>
</file>

<file path=customXml/itemProps8.xml><?xml version="1.0" encoding="utf-8"?>
<ds:datastoreItem xmlns:ds="http://schemas.openxmlformats.org/officeDocument/2006/customXml" ds:itemID="{2F7D9A94-D424-436B-8805-950DF4FAFB27}">
  <ds:schemaRefs/>
</ds:datastoreItem>
</file>

<file path=customXml/itemProps9.xml><?xml version="1.0" encoding="utf-8"?>
<ds:datastoreItem xmlns:ds="http://schemas.openxmlformats.org/officeDocument/2006/customXml" ds:itemID="{377519D9-F9E4-4D05-BA40-B2E8D23395A7}">
  <ds:schemaRefs/>
</ds:datastoreItem>
</file>

<file path=customXml/itemProps10.xml><?xml version="1.0" encoding="utf-8"?>
<ds:datastoreItem xmlns:ds="http://schemas.openxmlformats.org/officeDocument/2006/customXml" ds:itemID="{A887465A-64A6-4B32-955B-1FA88690E439}">
  <ds:schemaRefs/>
</ds:datastoreItem>
</file>

<file path=customXml/itemProps11.xml><?xml version="1.0" encoding="utf-8"?>
<ds:datastoreItem xmlns:ds="http://schemas.openxmlformats.org/officeDocument/2006/customXml" ds:itemID="{7033D4F2-E0A0-4AF7-B7BD-9EE07BAC25B2}">
  <ds:schemaRefs/>
</ds:datastoreItem>
</file>

<file path=customXml/itemProps12.xml><?xml version="1.0" encoding="utf-8"?>
<ds:datastoreItem xmlns:ds="http://schemas.openxmlformats.org/officeDocument/2006/customXml" ds:itemID="{608291A0-AB57-48F1-A130-F2349D0CEED9}">
  <ds:schemaRefs/>
</ds:datastoreItem>
</file>

<file path=customXml/itemProps13.xml><?xml version="1.0" encoding="utf-8"?>
<ds:datastoreItem xmlns:ds="http://schemas.openxmlformats.org/officeDocument/2006/customXml" ds:itemID="{ED2B6F38-0854-445D-A2CD-32502D2374A2}">
  <ds:schemaRefs/>
</ds:datastoreItem>
</file>

<file path=customXml/itemProps14.xml><?xml version="1.0" encoding="utf-8"?>
<ds:datastoreItem xmlns:ds="http://schemas.openxmlformats.org/officeDocument/2006/customXml" ds:itemID="{879B3E32-6C27-4136-B16E-C858520BC6D1}">
  <ds:schemaRefs/>
</ds:datastoreItem>
</file>

<file path=customXml/itemProps15.xml><?xml version="1.0" encoding="utf-8"?>
<ds:datastoreItem xmlns:ds="http://schemas.openxmlformats.org/officeDocument/2006/customXml" ds:itemID="{18CDCE9C-D7DB-41F0-8B8F-5C25C9F5B56C}">
  <ds:schemaRefs/>
</ds:datastoreItem>
</file>

<file path=customXml/itemProps16.xml><?xml version="1.0" encoding="utf-8"?>
<ds:datastoreItem xmlns:ds="http://schemas.openxmlformats.org/officeDocument/2006/customXml" ds:itemID="{B2561A87-7827-4A57-AC81-A813C842B639}">
  <ds:schemaRefs/>
</ds:datastoreItem>
</file>

<file path=customXml/itemProps17.xml><?xml version="1.0" encoding="utf-8"?>
<ds:datastoreItem xmlns:ds="http://schemas.openxmlformats.org/officeDocument/2006/customXml" ds:itemID="{8AFA046F-1ECE-46E7-AE50-5B288E9BF08C}">
  <ds:schemaRefs/>
</ds:datastoreItem>
</file>

<file path=customXml/itemProps18.xml><?xml version="1.0" encoding="utf-8"?>
<ds:datastoreItem xmlns:ds="http://schemas.openxmlformats.org/officeDocument/2006/customXml" ds:itemID="{230CA501-26FF-4195-87E3-1633BFF8F8CF}">
  <ds:schemaRefs/>
</ds:datastoreItem>
</file>

<file path=customXml/itemProps19.xml><?xml version="1.0" encoding="utf-8"?>
<ds:datastoreItem xmlns:ds="http://schemas.openxmlformats.org/officeDocument/2006/customXml" ds:itemID="{AAF09FC7-6D1B-4F43-A4E6-07179A0E084F}">
  <ds:schemaRefs/>
</ds:datastoreItem>
</file>

<file path=customXml/itemProps20.xml><?xml version="1.0" encoding="utf-8"?>
<ds:datastoreItem xmlns:ds="http://schemas.openxmlformats.org/officeDocument/2006/customXml" ds:itemID="{97224515-FB92-45B6-B86B-00C554F0B9DE}">
  <ds:schemaRefs/>
</ds:datastoreItem>
</file>

<file path=customXml/itemProps21.xml><?xml version="1.0" encoding="utf-8"?>
<ds:datastoreItem xmlns:ds="http://schemas.openxmlformats.org/officeDocument/2006/customXml" ds:itemID="{B5025A38-D225-46D5-AC39-B4BF299975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Patient waittime daily </vt:lpstr>
      <vt:lpstr>Average Satisfaction Score dail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SHABNAM KUMARI</dc:creator>
  <cp:lastModifiedBy>SHABNAM KUMARI</cp:lastModifiedBy>
  <cp:lastPrinted>2026-02-08T00:42:04Z</cp:lastPrinted>
  <dcterms:created xsi:type="dcterms:W3CDTF">2026-02-07T19:01:54Z</dcterms:created>
  <dcterms:modified xsi:type="dcterms:W3CDTF">2026-02-08T00:44:19Z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0x010100EE08A866E271DA458E5191E411ED1415</vt:lpwstr>
  </property>
</Properties>
</file>